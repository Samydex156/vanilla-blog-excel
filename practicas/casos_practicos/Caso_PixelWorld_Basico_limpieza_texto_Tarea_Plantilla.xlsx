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ada" state="visible" r:id="rId4"/>
    <sheet sheetId="2" name="Limpieza_Staff" state="visible" r:id="rId5"/>
    <sheet sheetId="3" name="Referencias" state="visible" r:id="rId6"/>
    <sheet sheetId="4" name="Preguntas" state="visible" r:id="rId7"/>
  </sheets>
  <calcPr calcId="171027"/>
</workbook>
</file>

<file path=xl/sharedStrings.xml><?xml version="1.0" encoding="utf-8"?>
<sst xmlns="http://schemas.openxmlformats.org/spreadsheetml/2006/main" count="108" uniqueCount="108">
  <si>
    <t>PIXELWORLD FESTIVAL</t>
  </si>
  <si>
    <t>Misión 4: Estandarización y Limpieza de Staff (Nivel Básico - Tarea)</t>
  </si>
  <si>
    <t>HISTORIA Y LORE</t>
  </si>
  <si>
    <t>¡Bienvenido, Coordinador! El volcado de base de datos de nuestro staff de promotores</t>
  </si>
  <si>
    <t>ha llegado con múltiples errores de tipografía, espacios excedentes y capitalización.</t>
  </si>
  <si>
    <t>Debes limpiar sus nombres, generar sus usuarios corporativos y calcular los netos de pago.</t>
  </si>
  <si>
    <t>El tablero sumador validará dinámicamente tu avance en tiempo real.</t>
  </si>
  <si>
    <t>REGLAS DEL RETO</t>
  </si>
  <si>
    <t>1. Resuelve las preguntas en la hoja 'Preguntas' ingresando fórmulas en la columna amarilla.</t>
  </si>
  <si>
    <t>2. Completa primero las celdas amarillas en 'Limpieza_Staff' usando fórmulas de texto.</t>
  </si>
  <si>
    <t>3. No dejes filas sueltas ni modifiques celdas grises.</t>
  </si>
  <si>
    <t>TABLERO DE PUNTOS</t>
  </si>
  <si>
    <t>Concepto</t>
  </si>
  <si>
    <t>Valor / Resultado</t>
  </si>
  <si>
    <t>Puntos Máximos del Reto</t>
  </si>
  <si>
    <t>Puntos Obtenidos</t>
  </si>
  <si>
    <t>Estado del Reto</t>
  </si>
  <si>
    <t>ESTANDARIZACIÓN Y LIMPIEZA DE DATOS DEL STAFF</t>
  </si>
  <si>
    <t>ID Promotor</t>
  </si>
  <si>
    <t>Nombre Sucio</t>
  </si>
  <si>
    <t>Apellido Sucio</t>
  </si>
  <si>
    <t>Nombre Limpio</t>
  </si>
  <si>
    <t>Apellido Limpio</t>
  </si>
  <si>
    <t>Usuario Credencial</t>
  </si>
  <si>
    <t>Correo Corporativo</t>
  </si>
  <si>
    <t>Longitud Usuario</t>
  </si>
  <si>
    <t>Sueldo Base (Bs.)</t>
  </si>
  <si>
    <t>Días Trabajados</t>
  </si>
  <si>
    <t>Pago Diario (Bs.)</t>
  </si>
  <si>
    <t>Pago Neto (Bs.)</t>
  </si>
  <si>
    <t>PX-STA-401</t>
  </si>
  <si>
    <t xml:space="preserve">   aNdReA  </t>
  </si>
  <si>
    <t xml:space="preserve">   rOjAs   </t>
  </si>
  <si>
    <t>PX-STA-402</t>
  </si>
  <si>
    <t xml:space="preserve"> sEbAsTiAn </t>
  </si>
  <si>
    <t xml:space="preserve">   vAcA </t>
  </si>
  <si>
    <t>PX-STA-403</t>
  </si>
  <si>
    <t xml:space="preserve">  lUcIa  </t>
  </si>
  <si>
    <t xml:space="preserve">   dElGaDo  </t>
  </si>
  <si>
    <t>PX-STA-404</t>
  </si>
  <si>
    <t xml:space="preserve">  bRuNo  </t>
  </si>
  <si>
    <t xml:space="preserve">  sUaReZ </t>
  </si>
  <si>
    <t>PX-STA-405</t>
  </si>
  <si>
    <t xml:space="preserve"> nAtAlIa </t>
  </si>
  <si>
    <t xml:space="preserve">  OrTiZ  </t>
  </si>
  <si>
    <t>PX-STA-406</t>
  </si>
  <si>
    <t xml:space="preserve">   lUcAs  </t>
  </si>
  <si>
    <t xml:space="preserve"> gUzMaN  </t>
  </si>
  <si>
    <t>PX-STA-407</t>
  </si>
  <si>
    <t xml:space="preserve"> iSaBeLlA </t>
  </si>
  <si>
    <t xml:space="preserve">   PrAdA   </t>
  </si>
  <si>
    <t>PX-STA-408</t>
  </si>
  <si>
    <t xml:space="preserve">   jOaQuIn  </t>
  </si>
  <si>
    <t xml:space="preserve">  aNtElO  </t>
  </si>
  <si>
    <t>PX-STA-409</t>
  </si>
  <si>
    <t xml:space="preserve"> dAnIeLa </t>
  </si>
  <si>
    <t xml:space="preserve"> aGuIlErA </t>
  </si>
  <si>
    <t>PX-STA-410</t>
  </si>
  <si>
    <t xml:space="preserve">  sAmUeL  </t>
  </si>
  <si>
    <t xml:space="preserve">   pEñA   </t>
  </si>
  <si>
    <t>PX-STA-411</t>
  </si>
  <si>
    <t xml:space="preserve">  fLaViA </t>
  </si>
  <si>
    <t xml:space="preserve">  tErRaZaS </t>
  </si>
  <si>
    <t>PX-STA-412</t>
  </si>
  <si>
    <t xml:space="preserve">  lEoNaRdO </t>
  </si>
  <si>
    <t xml:space="preserve"> cHaVeZ </t>
  </si>
  <si>
    <t>PX-STA-413</t>
  </si>
  <si>
    <t xml:space="preserve">  sOfIa </t>
  </si>
  <si>
    <t xml:space="preserve"> mEnDeZ </t>
  </si>
  <si>
    <t>PX-STA-414</t>
  </si>
  <si>
    <t xml:space="preserve">  cArLoS </t>
  </si>
  <si>
    <t xml:space="preserve"> rOjAs </t>
  </si>
  <si>
    <t>PX-STA-415</t>
  </si>
  <si>
    <t xml:space="preserve">   mAtEo  </t>
  </si>
  <si>
    <t xml:space="preserve">   oRtIz  </t>
  </si>
  <si>
    <t>PARÁMETROS DE STAFF</t>
  </si>
  <si>
    <t>Parámetro</t>
  </si>
  <si>
    <t>Valor</t>
  </si>
  <si>
    <t>Dominio de Correo Oficial</t>
  </si>
  <si>
    <t>@pixelworld.com</t>
  </si>
  <si>
    <t>PANEL DE PREGUNTAS Y VERIFICACIÓN DE LIMPIEZA</t>
  </si>
  <si>
    <t>Instrucciones: Completa primero las columnas amarillas en 'Limpieza_Staff'. Resuelve las preguntas ingresando fórmulas en la columna amarilla (Tu Respuesta). El validador verificará automáticamente.</t>
  </si>
  <si>
    <t>#</t>
  </si>
  <si>
    <t>Descripción del Reto</t>
  </si>
  <si>
    <t>Puntos</t>
  </si>
  <si>
    <t>Tu Respuesta</t>
  </si>
  <si>
    <t>Pista</t>
  </si>
  <si>
    <t>Estado</t>
  </si>
  <si>
    <t>¿Cuál es el costo total de la planilla de pagos netos a transferir a todo el staff en bolivianos (Bs.)?</t>
  </si>
  <si>
    <t>Bs. 44,5x3.00</t>
  </si>
  <si>
    <t>¿Cuál es el promedio de días trabajados por promotor?</t>
  </si>
  <si>
    <t>x6.00</t>
  </si>
  <si>
    <t>¿Cuál es el pago neto más alto registrado para un promotor en bolivianos (Bs.)?</t>
  </si>
  <si>
    <t>Bs. 3,8x6.67</t>
  </si>
  <si>
    <t>¿Cuál es el pago neto más bajo registrado para un promotor en bolivianos (Bs.)?</t>
  </si>
  <si>
    <t>Bs. 2,1x0.00</t>
  </si>
  <si>
    <t>Checksum de Texto: ¿Cuál es la longitud total (cantidad de caracteres) acumulada de todos los códigos de usuario credencial generados?</t>
  </si>
  <si>
    <t>2x1</t>
  </si>
  <si>
    <t>¿Cuántos promotores tienen un sueldo base contractual superior a Bs. 3,300.00?</t>
  </si>
  <si>
    <t>8</t>
  </si>
  <si>
    <t>¿Cuántos promotores trabajaron menos de 25 días durante el período?</t>
  </si>
  <si>
    <t>4</t>
  </si>
  <si>
    <t>¿A cuánto asciende la suma de todos los sueldos base contractuales de la planilla en bolivianos (Bs.)?</t>
  </si>
  <si>
    <t>Bs. 51,2x0.00</t>
  </si>
  <si>
    <t>¿Cuál es el promedio de caracteres de los nombres de usuario credencial generados?</t>
  </si>
  <si>
    <t>x6.73</t>
  </si>
  <si>
    <t>¿Cuál es la relación promedio de pago neto por carácter de usuario credencial (Costo Planilla Total / Total Caracteres)?</t>
  </si>
  <si>
    <t>Bs. 1x7.50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</si>
</sst>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Bs. &quot;#,##0.00"/>
  </numFmts>
  <fonts count="14" x14ac:knownFonts="1">
    <font>
      <color theme="1"/>
      <family val="2"/>
      <scheme val="minor"/>
      <sz val="11"/>
      <name val="Calibri"/>
    </font>
    <font>
      <b/>
      <color rgb="FFFFFF"/>
      <sz val="18"/>
      <name val="Segoe UI"/>
    </font>
    <font>
      <b/>
      <i/>
      <color rgb="595959"/>
      <sz val="12"/>
      <name val="Segoe UI"/>
    </font>
    <font>
      <b/>
      <color rgb="1F4E78"/>
      <sz val="11"/>
      <name val="Segoe UI"/>
    </font>
    <font>
      <sz val="10"/>
      <name val="Segoe UI"/>
    </font>
    <font>
      <b/>
      <sz val="12"/>
      <name val="Segoe UI"/>
    </font>
    <font>
      <b/>
      <color rgb="FFFFFF"/>
      <sz val="10"/>
      <name val="Segoe UI"/>
    </font>
    <font>
      <b/>
      <sz val="10"/>
      <name val="Segoe UI"/>
    </font>
    <font>
      <b/>
      <color rgb="FFFFFF"/>
      <sz val="14"/>
      <name val="Segoe UI"/>
    </font>
    <font>
      <b/>
      <color rgb="FFFFFF"/>
      <sz val="9.5"/>
      <name val="Segoe UI"/>
    </font>
    <font>
      <sz val="9.5"/>
      <name val="Segoe UI"/>
    </font>
    <font>
      <b/>
      <color rgb="FFFFFF"/>
      <sz val="12"/>
      <name val="Segoe UI"/>
    </font>
    <font>
      <i/>
      <sz val="9"/>
      <name val="Segoe UI"/>
    </font>
    <font>
      <i/>
      <sz val="9.5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2CC"/>
      </patternFill>
    </fill>
    <fill>
      <patternFill patternType="solid">
        <fgColor rgb="F2F4F7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/>
    <xf numFmtId="0" fontId="7" fillId="0" borderId="1" xfId="0" applyFont="1" applyBorder="1"/>
    <xf numFmtId="3" fontId="7" fillId="0" borderId="1" xfId="0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0" fontId="10" fillId="3" borderId="1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center"/>
    </xf>
    <xf numFmtId="3" fontId="10" fillId="3" borderId="1" xfId="0" applyNumberFormat="1" applyFont="1" applyFill="1" applyBorder="1" applyAlignment="1">
      <alignment horizontal="right"/>
    </xf>
    <xf numFmtId="164" fontId="10" fillId="0" borderId="1" xfId="0" applyNumberFormat="1" applyFont="1" applyBorder="1" applyAlignment="1">
      <alignment horizontal="right"/>
    </xf>
    <xf numFmtId="3" fontId="10" fillId="0" borderId="1" xfId="0" applyNumberFormat="1" applyFont="1" applyBorder="1" applyAlignment="1">
      <alignment horizontal="right"/>
    </xf>
    <xf numFmtId="164" fontId="10" fillId="3" borderId="1" xfId="0" applyNumberFormat="1" applyFont="1" applyFill="1" applyBorder="1" applyAlignment="1">
      <alignment horizontal="right"/>
    </xf>
    <xf numFmtId="0" fontId="10" fillId="4" borderId="1" xfId="0" applyFont="1" applyFill="1" applyBorder="1" applyAlignment="1">
      <alignment horizontal="center"/>
    </xf>
    <xf numFmtId="0" fontId="10" fillId="4" borderId="1" xfId="0" applyFont="1" applyFill="1" applyBorder="1"/>
    <xf numFmtId="164" fontId="10" fillId="4" borderId="1" xfId="0" applyNumberFormat="1" applyFont="1" applyFill="1" applyBorder="1" applyAlignment="1">
      <alignment horizontal="right"/>
    </xf>
    <xf numFmtId="3" fontId="10" fillId="4" borderId="1" xfId="0" applyNumberFormat="1" applyFont="1" applyFill="1" applyBorder="1" applyAlignment="1">
      <alignment horizontal="right"/>
    </xf>
    <xf numFmtId="0" fontId="11" fillId="2" borderId="0" xfId="0" applyFont="1" applyFill="1" applyAlignment="1">
      <alignment horizontal="center" vertical="center"/>
    </xf>
    <xf numFmtId="0" fontId="0" fillId="0" borderId="1" xfId="0" applyBorder="1"/>
    <xf numFmtId="0" fontId="12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right" vertical="center"/>
    </xf>
    <xf numFmtId="0" fontId="13" fillId="0" borderId="1" xfId="0" applyFont="1" applyBorder="1" applyAlignment="1">
      <alignment horizontal="center" vertical="center"/>
    </xf>
    <xf numFmtId="4" fontId="7" fillId="3" borderId="1" xfId="0" applyNumberFormat="1" applyFont="1" applyFill="1" applyBorder="1" applyAlignment="1">
      <alignment horizontal="right" vertical="center"/>
    </xf>
    <xf numFmtId="3" fontId="7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3">
    <dxf>
      <font>
        <b/>
        <color rgb="375623"/>
      </font>
      <fill>
        <patternFill patternType="solid">
          <fgColor rgb="E2EFDA"/>
          <bgColor rgb="E2EFDA"/>
        </patternFill>
      </fill>
    </dxf>
    <dxf>
      <font>
        <b/>
        <color rgb="C65911"/>
      </font>
      <fill>
        <patternFill patternType="solid">
          <fgColor rgb="FCE4D6"/>
          <bgColor rgb="FCE4D6"/>
        </patternFill>
      </fill>
    </dxf>
    <dxf>
      <font>
        <b/>
        <color rgb="7F7F7F"/>
      </font>
      <fill>
        <patternFill patternType="solid">
          <fgColor rgb="FFF2CC"/>
          <bgColor rgb="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1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8" customWidth="1"/>
    <col min="3" max="3" width="50" customWidth="1"/>
  </cols>
  <sheetData>
    <row r="2" spans="2:3" x14ac:dyDescent="0.25">
      <c r="B2" s="1" t="s">
        <v>0</v>
      </c>
      <c r="C2" s="1"/>
    </row>
    <row r="3" spans="2:3" x14ac:dyDescent="0.25">
      <c r="B3" s="1"/>
      <c r="C3" s="1"/>
    </row>
    <row r="4" spans="2:2" x14ac:dyDescent="0.25">
      <c r="B4" s="2" t="s">
        <v>1</v>
      </c>
    </row>
    <row r="6" spans="2:2" x14ac:dyDescent="0.25">
      <c r="B6" s="3" t="s">
        <v>2</v>
      </c>
    </row>
    <row r="7" spans="2:2" x14ac:dyDescent="0.25">
      <c r="B7" s="4" t="s">
        <v>3</v>
      </c>
    </row>
    <row r="8" spans="2:2" x14ac:dyDescent="0.25">
      <c r="B8" s="4" t="s">
        <v>4</v>
      </c>
    </row>
    <row r="9" spans="2:2" x14ac:dyDescent="0.25">
      <c r="B9" s="4" t="s">
        <v>5</v>
      </c>
    </row>
    <row r="10" spans="2:2" x14ac:dyDescent="0.25">
      <c r="B10" s="4" t="s">
        <v>6</v>
      </c>
    </row>
    <row r="12" spans="2:2" x14ac:dyDescent="0.25">
      <c r="B12" s="3" t="s">
        <v>7</v>
      </c>
    </row>
    <row r="13" spans="2:2" x14ac:dyDescent="0.25">
      <c r="B13" s="4" t="s">
        <v>8</v>
      </c>
    </row>
    <row r="14" spans="2:2" x14ac:dyDescent="0.25">
      <c r="B14" s="4" t="s">
        <v>9</v>
      </c>
    </row>
    <row r="15" spans="2:2" x14ac:dyDescent="0.25">
      <c r="B15" s="4" t="s">
        <v>10</v>
      </c>
    </row>
    <row r="17" spans="2:2" x14ac:dyDescent="0.25">
      <c r="B17" s="5" t="s">
        <v>11</v>
      </c>
    </row>
    <row r="18" spans="2:3" x14ac:dyDescent="0.25">
      <c r="B18" s="6" t="s">
        <v>12</v>
      </c>
      <c r="C18" s="6" t="s">
        <v>13</v>
      </c>
    </row>
    <row r="19" spans="2:3" x14ac:dyDescent="0.25">
      <c r="B19" s="7" t="s">
        <v>14</v>
      </c>
      <c r="C19" s="8">
        <v>1000</v>
      </c>
    </row>
    <row r="20" spans="2:3" x14ac:dyDescent="0.25">
      <c r="B20" s="7" t="s">
        <v>15</v>
      </c>
      <c r="C20" s="8">
        <f>=SUMIF(Preguntas!F9:F18, "Correcto", Preguntas!C9:C18)</f>
      </c>
    </row>
    <row r="21" spans="2:3" x14ac:dyDescent="0.25">
      <c r="B21" s="7" t="s">
        <v>16</v>
      </c>
      <c r="C21" s="9">
        <f>=IF(C20=1000, "COMPLETADO", IF(C20&gt;=700, "APROBADO", "EN PROGRESO"))</f>
      </c>
    </row>
  </sheetData>
  <mergeCells count="1">
    <mergeCell ref="B2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0"/>
  <sheetViews>
    <sheetView workbookViewId="0"/>
  </sheetViews>
  <sheetFormatPr defaultRowHeight="15" outlineLevelRow="0" outlineLevelCol="0" x14ac:dyDescent="55"/>
  <cols>
    <col min="1" max="1" width="15" customWidth="1"/>
    <col min="2" max="3" width="22" customWidth="1"/>
    <col min="4" max="5" width="18" customWidth="1"/>
    <col min="6" max="6" width="22" customWidth="1"/>
    <col min="7" max="7" width="30" customWidth="1"/>
    <col min="8" max="8" width="15" customWidth="1"/>
    <col min="9" max="12" width="18" customWidth="1"/>
  </cols>
  <sheetData>
    <row r="2" spans="1:12" x14ac:dyDescent="0.25">
      <c r="A2" s="10" t="s">
        <v>17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5" ht="32" customHeight="1" spans="1:12" x14ac:dyDescent="0.25">
      <c r="A5" s="11" t="s">
        <v>18</v>
      </c>
      <c r="B5" s="11" t="s">
        <v>19</v>
      </c>
      <c r="C5" s="11" t="s">
        <v>20</v>
      </c>
      <c r="D5" s="11" t="s">
        <v>21</v>
      </c>
      <c r="E5" s="11" t="s">
        <v>22</v>
      </c>
      <c r="F5" s="11" t="s">
        <v>23</v>
      </c>
      <c r="G5" s="11" t="s">
        <v>24</v>
      </c>
      <c r="H5" s="11" t="s">
        <v>25</v>
      </c>
      <c r="I5" s="11" t="s">
        <v>26</v>
      </c>
      <c r="J5" s="11" t="s">
        <v>27</v>
      </c>
      <c r="K5" s="11" t="s">
        <v>28</v>
      </c>
      <c r="L5" s="11" t="s">
        <v>29</v>
      </c>
    </row>
    <row r="6" spans="1:12" x14ac:dyDescent="0.25">
      <c r="A6" s="12" t="s">
        <v>30</v>
      </c>
      <c r="B6" s="13" t="s">
        <v>31</v>
      </c>
      <c r="C6" s="13" t="s">
        <v>32</v>
      </c>
      <c r="D6" s="14"/>
      <c r="E6" s="14"/>
      <c r="F6" s="15"/>
      <c r="G6" s="14"/>
      <c r="H6" s="16"/>
      <c r="I6" s="17">
        <v>3100</v>
      </c>
      <c r="J6" s="18">
        <v>24</v>
      </c>
      <c r="K6" s="19"/>
      <c r="L6" s="19"/>
    </row>
    <row r="7" spans="1:12" x14ac:dyDescent="0.25">
      <c r="A7" s="20" t="s">
        <v>33</v>
      </c>
      <c r="B7" s="21" t="s">
        <v>34</v>
      </c>
      <c r="C7" s="21" t="s">
        <v>35</v>
      </c>
      <c r="D7" s="14"/>
      <c r="E7" s="14"/>
      <c r="F7" s="15"/>
      <c r="G7" s="14"/>
      <c r="H7" s="16"/>
      <c r="I7" s="22">
        <v>3300</v>
      </c>
      <c r="J7" s="23">
        <v>27</v>
      </c>
      <c r="K7" s="19"/>
      <c r="L7" s="19"/>
    </row>
    <row r="8" spans="1:12" x14ac:dyDescent="0.25">
      <c r="A8" s="12" t="s">
        <v>36</v>
      </c>
      <c r="B8" s="13" t="s">
        <v>37</v>
      </c>
      <c r="C8" s="13" t="s">
        <v>38</v>
      </c>
      <c r="D8" s="14"/>
      <c r="E8" s="14"/>
      <c r="F8" s="15"/>
      <c r="G8" s="14"/>
      <c r="H8" s="16"/>
      <c r="I8" s="17">
        <v>3600</v>
      </c>
      <c r="J8" s="18">
        <v>25</v>
      </c>
      <c r="K8" s="19"/>
      <c r="L8" s="19"/>
    </row>
    <row r="9" spans="1:12" x14ac:dyDescent="0.25">
      <c r="A9" s="20" t="s">
        <v>39</v>
      </c>
      <c r="B9" s="21" t="s">
        <v>40</v>
      </c>
      <c r="C9" s="21" t="s">
        <v>41</v>
      </c>
      <c r="D9" s="14"/>
      <c r="E9" s="14"/>
      <c r="F9" s="15"/>
      <c r="G9" s="14"/>
      <c r="H9" s="16"/>
      <c r="I9" s="22">
        <v>3200</v>
      </c>
      <c r="J9" s="23">
        <v>29</v>
      </c>
      <c r="K9" s="19"/>
      <c r="L9" s="19"/>
    </row>
    <row r="10" spans="1:12" x14ac:dyDescent="0.25">
      <c r="A10" s="12" t="s">
        <v>42</v>
      </c>
      <c r="B10" s="13" t="s">
        <v>43</v>
      </c>
      <c r="C10" s="13" t="s">
        <v>44</v>
      </c>
      <c r="D10" s="14"/>
      <c r="E10" s="14"/>
      <c r="F10" s="15"/>
      <c r="G10" s="14"/>
      <c r="H10" s="16"/>
      <c r="I10" s="17">
        <v>3400</v>
      </c>
      <c r="J10" s="18">
        <v>23</v>
      </c>
      <c r="K10" s="19"/>
      <c r="L10" s="19"/>
    </row>
    <row r="11" spans="1:12" x14ac:dyDescent="0.25">
      <c r="A11" s="20" t="s">
        <v>45</v>
      </c>
      <c r="B11" s="21" t="s">
        <v>46</v>
      </c>
      <c r="C11" s="21" t="s">
        <v>47</v>
      </c>
      <c r="D11" s="14"/>
      <c r="E11" s="14"/>
      <c r="F11" s="15"/>
      <c r="G11" s="14"/>
      <c r="H11" s="16"/>
      <c r="I11" s="22">
        <v>3000</v>
      </c>
      <c r="J11" s="23">
        <v>21</v>
      </c>
      <c r="K11" s="19"/>
      <c r="L11" s="19"/>
    </row>
    <row r="12" spans="1:12" x14ac:dyDescent="0.25">
      <c r="A12" s="12" t="s">
        <v>48</v>
      </c>
      <c r="B12" s="13" t="s">
        <v>49</v>
      </c>
      <c r="C12" s="13" t="s">
        <v>50</v>
      </c>
      <c r="D12" s="14"/>
      <c r="E12" s="14"/>
      <c r="F12" s="15"/>
      <c r="G12" s="14"/>
      <c r="H12" s="16"/>
      <c r="I12" s="17">
        <v>4100</v>
      </c>
      <c r="J12" s="18">
        <v>28</v>
      </c>
      <c r="K12" s="19"/>
      <c r="L12" s="19"/>
    </row>
    <row r="13" spans="1:12" x14ac:dyDescent="0.25">
      <c r="A13" s="20" t="s">
        <v>51</v>
      </c>
      <c r="B13" s="21" t="s">
        <v>52</v>
      </c>
      <c r="C13" s="21" t="s">
        <v>53</v>
      </c>
      <c r="D13" s="14"/>
      <c r="E13" s="14"/>
      <c r="F13" s="15"/>
      <c r="G13" s="14"/>
      <c r="H13" s="16"/>
      <c r="I13" s="22">
        <v>3700</v>
      </c>
      <c r="J13" s="23">
        <v>26</v>
      </c>
      <c r="K13" s="19"/>
      <c r="L13" s="19"/>
    </row>
    <row r="14" spans="1:12" x14ac:dyDescent="0.25">
      <c r="A14" s="12" t="s">
        <v>54</v>
      </c>
      <c r="B14" s="13" t="s">
        <v>55</v>
      </c>
      <c r="C14" s="13" t="s">
        <v>56</v>
      </c>
      <c r="D14" s="14"/>
      <c r="E14" s="14"/>
      <c r="F14" s="15"/>
      <c r="G14" s="14"/>
      <c r="H14" s="16"/>
      <c r="I14" s="17">
        <v>3500</v>
      </c>
      <c r="J14" s="18">
        <v>25</v>
      </c>
      <c r="K14" s="19"/>
      <c r="L14" s="19"/>
    </row>
    <row r="15" spans="1:12" x14ac:dyDescent="0.25">
      <c r="A15" s="20" t="s">
        <v>57</v>
      </c>
      <c r="B15" s="21" t="s">
        <v>58</v>
      </c>
      <c r="C15" s="21" t="s">
        <v>59</v>
      </c>
      <c r="D15" s="14"/>
      <c r="E15" s="14"/>
      <c r="F15" s="15"/>
      <c r="G15" s="14"/>
      <c r="H15" s="16"/>
      <c r="I15" s="22">
        <v>3900</v>
      </c>
      <c r="J15" s="23">
        <v>27</v>
      </c>
      <c r="K15" s="19"/>
      <c r="L15" s="19"/>
    </row>
    <row r="16" spans="1:12" x14ac:dyDescent="0.25">
      <c r="A16" s="12" t="s">
        <v>60</v>
      </c>
      <c r="B16" s="13" t="s">
        <v>61</v>
      </c>
      <c r="C16" s="13" t="s">
        <v>62</v>
      </c>
      <c r="D16" s="14"/>
      <c r="E16" s="14"/>
      <c r="F16" s="15"/>
      <c r="G16" s="14"/>
      <c r="H16" s="16"/>
      <c r="I16" s="17">
        <v>3250</v>
      </c>
      <c r="J16" s="18">
        <v>28</v>
      </c>
      <c r="K16" s="19"/>
      <c r="L16" s="19"/>
    </row>
    <row r="17" spans="1:12" x14ac:dyDescent="0.25">
      <c r="A17" s="20" t="s">
        <v>63</v>
      </c>
      <c r="B17" s="21" t="s">
        <v>64</v>
      </c>
      <c r="C17" s="21" t="s">
        <v>65</v>
      </c>
      <c r="D17" s="14"/>
      <c r="E17" s="14"/>
      <c r="F17" s="15"/>
      <c r="G17" s="14"/>
      <c r="H17" s="16"/>
      <c r="I17" s="22">
        <v>3350</v>
      </c>
      <c r="J17" s="23">
        <v>29</v>
      </c>
      <c r="K17" s="19"/>
      <c r="L17" s="19"/>
    </row>
    <row r="18" spans="1:12" x14ac:dyDescent="0.25">
      <c r="A18" s="12" t="s">
        <v>66</v>
      </c>
      <c r="B18" s="13" t="s">
        <v>67</v>
      </c>
      <c r="C18" s="13" t="s">
        <v>68</v>
      </c>
      <c r="D18" s="14"/>
      <c r="E18" s="14"/>
      <c r="F18" s="15"/>
      <c r="G18" s="14"/>
      <c r="H18" s="16"/>
      <c r="I18" s="17">
        <v>3450</v>
      </c>
      <c r="J18" s="18">
        <v>26</v>
      </c>
      <c r="K18" s="19"/>
      <c r="L18" s="19"/>
    </row>
    <row r="19" spans="1:12" x14ac:dyDescent="0.25">
      <c r="A19" s="20" t="s">
        <v>69</v>
      </c>
      <c r="B19" s="21" t="s">
        <v>70</v>
      </c>
      <c r="C19" s="21" t="s">
        <v>71</v>
      </c>
      <c r="D19" s="14"/>
      <c r="E19" s="14"/>
      <c r="F19" s="15"/>
      <c r="G19" s="14"/>
      <c r="H19" s="16"/>
      <c r="I19" s="22">
        <v>3150</v>
      </c>
      <c r="J19" s="23">
        <v>24</v>
      </c>
      <c r="K19" s="19"/>
      <c r="L19" s="19"/>
    </row>
    <row r="20" spans="1:12" x14ac:dyDescent="0.25">
      <c r="A20" s="12" t="s">
        <v>72</v>
      </c>
      <c r="B20" s="13" t="s">
        <v>73</v>
      </c>
      <c r="C20" s="13" t="s">
        <v>74</v>
      </c>
      <c r="D20" s="14"/>
      <c r="E20" s="14"/>
      <c r="F20" s="15"/>
      <c r="G20" s="14"/>
      <c r="H20" s="16"/>
      <c r="I20" s="17">
        <v>3280</v>
      </c>
      <c r="J20" s="18">
        <v>28</v>
      </c>
      <c r="K20" s="19"/>
      <c r="L20" s="19"/>
    </row>
  </sheetData>
  <mergeCells count="1">
    <mergeCell ref="A2:L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6"/>
  <sheetViews>
    <sheetView workbookViewId="0"/>
  </sheetViews>
  <sheetFormatPr defaultRowHeight="15" outlineLevelRow="0" outlineLevelCol="0" x14ac:dyDescent="55"/>
  <cols>
    <col min="2" max="2" width="38" customWidth="1"/>
    <col min="3" max="3" width="18" customWidth="1"/>
  </cols>
  <sheetData>
    <row r="2" spans="2:3" x14ac:dyDescent="0.25">
      <c r="B2" s="24" t="s">
        <v>75</v>
      </c>
      <c r="C2" s="24"/>
    </row>
    <row r="3" spans="2:3" x14ac:dyDescent="0.25">
      <c r="B3" s="24"/>
      <c r="C3" s="24"/>
    </row>
    <row r="5" spans="2:3" x14ac:dyDescent="0.25">
      <c r="B5" s="6" t="s">
        <v>76</v>
      </c>
      <c r="C5" s="6" t="s">
        <v>77</v>
      </c>
    </row>
    <row r="6" spans="2:3" x14ac:dyDescent="0.25">
      <c r="B6" s="25" t="s">
        <v>78</v>
      </c>
      <c r="C6" s="7" t="s">
        <v>79</v>
      </c>
    </row>
  </sheetData>
  <mergeCells count="1">
    <mergeCell ref="B2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8"/>
  <sheetViews>
    <sheetView workbookViewId="0"/>
  </sheetViews>
  <sheetFormatPr defaultRowHeight="15" outlineLevelRow="0" outlineLevelCol="0" x14ac:dyDescent="55"/>
  <cols>
    <col min="1" max="1" width="6" customWidth="1"/>
    <col min="2" max="2" width="75" customWidth="1"/>
    <col min="3" max="3" width="8" customWidth="1"/>
    <col min="4" max="4" width="20" customWidth="1"/>
    <col min="5" max="5" width="16" customWidth="1"/>
    <col min="6" max="6" width="14" customWidth="1"/>
  </cols>
  <sheetData>
    <row r="2" spans="1:6" x14ac:dyDescent="0.25">
      <c r="A2" s="10" t="s">
        <v>80</v>
      </c>
      <c r="B2" s="10"/>
      <c r="C2" s="10"/>
      <c r="D2" s="10"/>
      <c r="E2" s="10"/>
      <c r="F2" s="10"/>
    </row>
    <row r="3" spans="1:6" x14ac:dyDescent="0.25">
      <c r="A3" s="10"/>
      <c r="B3" s="10"/>
      <c r="C3" s="10"/>
      <c r="D3" s="10"/>
      <c r="E3" s="10"/>
      <c r="F3" s="10"/>
    </row>
    <row r="5" spans="1:6" x14ac:dyDescent="0.25">
      <c r="A5" s="26" t="s">
        <v>81</v>
      </c>
      <c r="B5" s="26"/>
      <c r="C5" s="26"/>
      <c r="D5" s="26"/>
      <c r="E5" s="26"/>
      <c r="F5" s="26"/>
    </row>
    <row r="6" spans="1:6" x14ac:dyDescent="0.25">
      <c r="A6" s="26"/>
      <c r="B6" s="26"/>
      <c r="C6" s="26"/>
      <c r="D6" s="26"/>
      <c r="E6" s="26"/>
      <c r="F6" s="26"/>
    </row>
    <row r="8" ht="24" customHeight="1" spans="1:6" x14ac:dyDescent="0.25">
      <c r="A8" s="27" t="s">
        <v>82</v>
      </c>
      <c r="B8" s="27" t="s">
        <v>83</v>
      </c>
      <c r="C8" s="27" t="s">
        <v>84</v>
      </c>
      <c r="D8" s="27" t="s">
        <v>85</v>
      </c>
      <c r="E8" s="27" t="s">
        <v>86</v>
      </c>
      <c r="F8" s="27" t="s">
        <v>87</v>
      </c>
    </row>
    <row r="9" ht="28" customHeight="1" spans="1:6" x14ac:dyDescent="0.25">
      <c r="A9" s="28">
        <v>1</v>
      </c>
      <c r="B9" s="29" t="s">
        <v>88</v>
      </c>
      <c r="C9" s="30">
        <v>80</v>
      </c>
      <c r="D9" s="31"/>
      <c r="E9" s="32" t="s">
        <v>89</v>
      </c>
      <c r="F9" s="30">
        <f>=IF(ISBLANK(D9), "Pendiente", IF(ROUND(D9,2)=44553.00, "Correcto", "Incorrecto"))</f>
      </c>
    </row>
    <row r="10" ht="28" customHeight="1" spans="1:6" x14ac:dyDescent="0.25">
      <c r="A10" s="28">
        <v>2</v>
      </c>
      <c r="B10" s="29" t="s">
        <v>90</v>
      </c>
      <c r="C10" s="30">
        <v>80</v>
      </c>
      <c r="D10" s="33"/>
      <c r="E10" s="32" t="s">
        <v>91</v>
      </c>
      <c r="F10" s="30">
        <f>=IF(ISBLANK(D10), "Pendiente", IF(ROUND(D10,2)=26.00, "Correcto", "Incorrecto"))</f>
      </c>
    </row>
    <row r="11" ht="28" customHeight="1" spans="1:6" x14ac:dyDescent="0.25">
      <c r="A11" s="28">
        <v>3</v>
      </c>
      <c r="B11" s="29" t="s">
        <v>92</v>
      </c>
      <c r="C11" s="30">
        <v>100</v>
      </c>
      <c r="D11" s="31"/>
      <c r="E11" s="32" t="s">
        <v>93</v>
      </c>
      <c r="F11" s="30">
        <f>=IF(ISBLANK(D11), "Pendiente", IF(ROUND(D11,2)=3826.67, "Correcto", "Incorrecto"))</f>
      </c>
    </row>
    <row r="12" ht="28" customHeight="1" spans="1:6" x14ac:dyDescent="0.25">
      <c r="A12" s="28">
        <v>4</v>
      </c>
      <c r="B12" s="29" t="s">
        <v>94</v>
      </c>
      <c r="C12" s="30">
        <v>100</v>
      </c>
      <c r="D12" s="31"/>
      <c r="E12" s="32" t="s">
        <v>95</v>
      </c>
      <c r="F12" s="30">
        <f>=IF(ISBLANK(D12), "Pendiente", IF(ROUND(D12,2)=2100.00, "Correcto", "Incorrecto"))</f>
      </c>
    </row>
    <row r="13" ht="28" customHeight="1" spans="1:6" x14ac:dyDescent="0.25">
      <c r="A13" s="28">
        <v>5</v>
      </c>
      <c r="B13" s="29" t="s">
        <v>96</v>
      </c>
      <c r="C13" s="30">
        <v>120</v>
      </c>
      <c r="D13" s="34"/>
      <c r="E13" s="32" t="s">
        <v>97</v>
      </c>
      <c r="F13" s="30">
        <f>=IF(ISBLANK(D13), "Pendiente", IF(D13=251, "Correcto", "Incorrecto"))</f>
      </c>
    </row>
    <row r="14" ht="28" customHeight="1" spans="1:6" x14ac:dyDescent="0.25">
      <c r="A14" s="28">
        <v>6</v>
      </c>
      <c r="B14" s="29" t="s">
        <v>98</v>
      </c>
      <c r="C14" s="30">
        <v>100</v>
      </c>
      <c r="D14" s="34"/>
      <c r="E14" s="32" t="s">
        <v>99</v>
      </c>
      <c r="F14" s="30">
        <f>=IF(ISBLANK(D14), "Pendiente", IF(D14=8, "Correcto", "Incorrecto"))</f>
      </c>
    </row>
    <row r="15" ht="28" customHeight="1" spans="1:6" x14ac:dyDescent="0.25">
      <c r="A15" s="28">
        <v>7</v>
      </c>
      <c r="B15" s="29" t="s">
        <v>100</v>
      </c>
      <c r="C15" s="30">
        <v>100</v>
      </c>
      <c r="D15" s="34"/>
      <c r="E15" s="32" t="s">
        <v>101</v>
      </c>
      <c r="F15" s="30">
        <f>=IF(ISBLANK(D15), "Pendiente", IF(D15=4, "Correcto", "Incorrecto"))</f>
      </c>
    </row>
    <row r="16" ht="28" customHeight="1" spans="1:6" x14ac:dyDescent="0.25">
      <c r="A16" s="28">
        <v>8</v>
      </c>
      <c r="B16" s="29" t="s">
        <v>102</v>
      </c>
      <c r="C16" s="30">
        <v>100</v>
      </c>
      <c r="D16" s="31"/>
      <c r="E16" s="32" t="s">
        <v>103</v>
      </c>
      <c r="F16" s="30">
        <f>=IF(ISBLANK(D16), "Pendiente", IF(ROUND(D16,2)=51280.00, "Correcto", "Incorrecto"))</f>
      </c>
    </row>
    <row r="17" ht="28" customHeight="1" spans="1:6" x14ac:dyDescent="0.25">
      <c r="A17" s="28">
        <v>9</v>
      </c>
      <c r="B17" s="29" t="s">
        <v>104</v>
      </c>
      <c r="C17" s="30">
        <v>100</v>
      </c>
      <c r="D17" s="33"/>
      <c r="E17" s="32" t="s">
        <v>105</v>
      </c>
      <c r="F17" s="30">
        <f>=IF(ISBLANK(D17), "Pendiente", IF(ROUND(D17,2)=16.73, "Correcto", "Incorrecto"))</f>
      </c>
    </row>
    <row r="18" ht="28" customHeight="1" spans="1:6" x14ac:dyDescent="0.25">
      <c r="A18" s="28">
        <v>10</v>
      </c>
      <c r="B18" s="29" t="s">
        <v>106</v>
      </c>
      <c r="C18" s="30">
        <v>120</v>
      </c>
      <c r="D18" s="31"/>
      <c r="E18" s="32" t="s">
        <v>107</v>
      </c>
      <c r="F18" s="30">
        <f>=IF(ISBLANK(D18), "Pendiente", IF(ROUND(D18,2)=177.50, "Correcto", "Incorrecto"))</f>
      </c>
    </row>
  </sheetData>
  <mergeCells count="2">
    <mergeCell ref="A2:F3"/>
    <mergeCell ref="A5:F6"/>
  </mergeCells>
  <conditionalFormatting sqref="F9:F18">
    <cfRule type="cellIs" dxfId="0" priority="1" operator="equal">
      <formula>"Correcto"</formula>
    </cfRule>
    <cfRule type="cellIs" dxfId="1" priority="2" operator="equal">
      <formula>"Incorrecto"</formula>
    </cfRule>
    <cfRule type="cellIs" dxfId="2" priority="3" operator="equal">
      <formula>"Pendiente"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Portada</vt:lpstr>
      <vt:lpstr>Limpieza_Staff</vt:lpstr>
      <vt:lpstr>Referencias</vt:lpstr>
      <vt:lpstr>Preguntas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2026-06-19T06:06:50Z</dcterms:created>
  <dcterms:modified xsi:type="dcterms:W3CDTF">2026-06-19T06:06:50Z</dcterms:modified>
</cp:coreProperties>
</file>