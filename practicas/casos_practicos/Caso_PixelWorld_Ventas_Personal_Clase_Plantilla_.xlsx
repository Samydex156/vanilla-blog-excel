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BC1F0FC3-D7C9-4271-A167-C9CE30DA48DE}" xr6:coauthVersionLast="47" xr6:coauthVersionMax="47" xr10:uidLastSave="{00000000-0000-0000-0000-000000000000}"/>
  <bookViews>
    <workbookView xWindow="20370" yWindow="-1260" windowWidth="29040" windowHeight="15840" activeTab="1" xr2:uid="{00000000-000D-0000-FFFF-FFFF00000000}"/>
  </bookViews>
  <sheets>
    <sheet name="Portada" sheetId="1" r:id="rId1"/>
    <sheet name="Registro_Ventas" sheetId="2" r:id="rId2"/>
    <sheet name="Referencias" sheetId="3" r:id="rId3"/>
    <sheet name="Analisis" sheetId="4" r:id="rId4"/>
    <sheet name="Pregun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5" l="1"/>
  <c r="F17" i="5"/>
  <c r="F16" i="5"/>
  <c r="F15" i="5"/>
  <c r="F14" i="5"/>
  <c r="F13" i="5"/>
  <c r="F12" i="5"/>
  <c r="F11" i="5"/>
  <c r="F10" i="5"/>
  <c r="F9" i="5"/>
  <c r="M46" i="2"/>
  <c r="F46" i="2"/>
  <c r="C22" i="1"/>
  <c r="C23" i="1" s="1"/>
</calcChain>
</file>

<file path=xl/sharedStrings.xml><?xml version="1.0" encoding="utf-8"?>
<sst xmlns="http://schemas.openxmlformats.org/spreadsheetml/2006/main" count="254" uniqueCount="130">
  <si>
    <t>PIXELWORLD THEME PARK</t>
  </si>
  <si>
    <t>Misión 7: Ventas y Control de Personal (Nivel Intermedio - Clase)</t>
  </si>
  <si>
    <t>HISTORIA Y LORE</t>
  </si>
  <si>
    <t>¡Bienvenido al equipo de control comercial de PixelWorld! Contamos con un</t>
  </si>
  <si>
    <t>registro detallado de las ventas de nuestra tienda de dulces y recuerdos.</t>
  </si>
  <si>
    <t>Para auditar las operaciones, necesitamos cruzar las transacciones de ventas</t>
  </si>
  <si>
    <t>con el maestro de personal y de productos. Deberás determinar la edad del personal,</t>
  </si>
  <si>
    <t>vigilar los vencimientos de productos y estructurar el análisis comercial con</t>
  </si>
  <si>
    <t>Tablas Dinámicas. ¡Audita el rendimiento comercial y responde al panel directivo!</t>
  </si>
  <si>
    <t>REGLAS DEL RETO</t>
  </si>
  <si>
    <t>1. Resuelve las preguntas en la hoja 'Preguntas' ingresando fórmulas en la columna amarilla.</t>
  </si>
  <si>
    <t>2. Completa primero las columnas calculadas en 'Registro_Ventas' usando fórmulas.</t>
  </si>
  <si>
    <t>3. Crea una Tabla Dinámica en la pestaña 'Analisis' para responder de manera óptima.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</si>
  <si>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</si>
  <si>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</si>
  <si>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</si>
  <si>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</si>
  <si>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</si>
  <si>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</si>
  <si>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TIENDA PIXELWORLD - REGISTRO DIARIO DE VENTAS Y AUDITORÍA DE PERSONAL</t>
  </si>
  <si>
    <t>ID Transacción</t>
  </si>
  <si>
    <t>Fecha Venta</t>
  </si>
  <si>
    <t>Zona</t>
  </si>
  <si>
    <t>Vendedor</t>
  </si>
  <si>
    <t>Producto</t>
  </si>
  <si>
    <t>Cantidad</t>
  </si>
  <si>
    <t>Género Vendedor</t>
  </si>
  <si>
    <t>Edad Vendedor</t>
  </si>
  <si>
    <t>Rango Edad</t>
  </si>
  <si>
    <t>Precio Unitario</t>
  </si>
  <si>
    <t>Fecha Vencimiento</t>
  </si>
  <si>
    <t>Descuento Vencimiento</t>
  </si>
  <si>
    <t>Total</t>
  </si>
  <si>
    <t>TX-P7001</t>
  </si>
  <si>
    <t>Fantasía</t>
  </si>
  <si>
    <t>Sofía</t>
  </si>
  <si>
    <t>Algodón de Azúcar Galáctico</t>
  </si>
  <si>
    <t>TX-P7002</t>
  </si>
  <si>
    <t>Aventura</t>
  </si>
  <si>
    <t>Carlos</t>
  </si>
  <si>
    <t>Helado de Nitrógeno Aventura</t>
  </si>
  <si>
    <t>TX-P7003</t>
  </si>
  <si>
    <t>Futuro</t>
  </si>
  <si>
    <t>Mateo</t>
  </si>
  <si>
    <t>Gomitas Flotantes</t>
  </si>
  <si>
    <t>TX-P7004</t>
  </si>
  <si>
    <t>Terror</t>
  </si>
  <si>
    <t>Diego</t>
  </si>
  <si>
    <t>Caramelos Ácidos de Terror</t>
  </si>
  <si>
    <t>TX-P7005</t>
  </si>
  <si>
    <t>Camila</t>
  </si>
  <si>
    <t>Bebida de Fresa Luminosa</t>
  </si>
  <si>
    <t>TX-P7006</t>
  </si>
  <si>
    <t>Alejandro</t>
  </si>
  <si>
    <t>Palomitas de Maíz Fantasía</t>
  </si>
  <si>
    <t>TX-P7007</t>
  </si>
  <si>
    <t>Lucía</t>
  </si>
  <si>
    <t>Galletas de la Fortuna Láser</t>
  </si>
  <si>
    <t>TX-P7008</t>
  </si>
  <si>
    <t>Chocolate en Barra Pixel</t>
  </si>
  <si>
    <t>TX-P7009</t>
  </si>
  <si>
    <t>Manzana Acaramelada Pixel</t>
  </si>
  <si>
    <t>TX-P7010</t>
  </si>
  <si>
    <t>TX-P7011</t>
  </si>
  <si>
    <t>TX-P7012</t>
  </si>
  <si>
    <t>TX-P7013</t>
  </si>
  <si>
    <t>TX-P7014</t>
  </si>
  <si>
    <t>TX-P7015</t>
  </si>
  <si>
    <t>TX-P7016</t>
  </si>
  <si>
    <t>TX-P7017</t>
  </si>
  <si>
    <t>TX-P7018</t>
  </si>
  <si>
    <t>TX-P7019</t>
  </si>
  <si>
    <t>TX-P7020</t>
  </si>
  <si>
    <t>TX-P7021</t>
  </si>
  <si>
    <t>TX-P7022</t>
  </si>
  <si>
    <t>TX-P7023</t>
  </si>
  <si>
    <t>TX-P7024</t>
  </si>
  <si>
    <t>TX-P7025</t>
  </si>
  <si>
    <t>TX-P7026</t>
  </si>
  <si>
    <t>TX-P7027</t>
  </si>
  <si>
    <t>TX-P7028</t>
  </si>
  <si>
    <t>TX-P7029</t>
  </si>
  <si>
    <t>TX-P7030</t>
  </si>
  <si>
    <t>TX-P7031</t>
  </si>
  <si>
    <t>TX-P7032</t>
  </si>
  <si>
    <t>TX-P7033</t>
  </si>
  <si>
    <t>TX-P7034</t>
  </si>
  <si>
    <t>TX-P7035</t>
  </si>
  <si>
    <t>TX-P7036</t>
  </si>
  <si>
    <t>TX-P7037</t>
  </si>
  <si>
    <t>TX-P7038</t>
  </si>
  <si>
    <t>TX-P7039</t>
  </si>
  <si>
    <t>TX-P7040</t>
  </si>
  <si>
    <t>TOTAL</t>
  </si>
  <si>
    <t>TARIFAS Y LOTES DE PRODUCTOS</t>
  </si>
  <si>
    <t>MAESTRO DE PERSONAL DE VENTAS</t>
  </si>
  <si>
    <t>Precio Base (Bs.)</t>
  </si>
  <si>
    <t>Género</t>
  </si>
  <si>
    <t>Fecha Nacimiento</t>
  </si>
  <si>
    <t>M</t>
  </si>
  <si>
    <t>F</t>
  </si>
  <si>
    <t>ÁREA DE ANÁLISIS: TABLA DINÁMICA
Instrucciones: Haz clic en Insertar &gt; Tabla Dinámica en el menú superior de Excel. Selecciona el rango completo de la pestaña 'Registro_Ventas' (A5:M45) y ubica el informe en esta pestaña (por ejemplo, a partir de la celda B6) para responder las preguntas del panel.</t>
  </si>
  <si>
    <t>PANEL DE PREGUNTAS (TABLAS DINÁMICAS Y CONTROL DE VENCIMIENTOS)</t>
  </si>
  <si>
    <t>Instrucciones: Completa las columnas calculadas en 'Registro_Ventas' e inserta una Tabla Dinámica en la pestaña 'Analisis'. Resuelve las preguntas ingresando fórmulas o valores en la columna amarilla (Tu Respuesta).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</si>
  <si>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</si>
  <si>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</si>
  <si>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</si>
  <si>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</si>
  <si>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</si>
  <si>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</si>
  <si>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Checksum de Control 1: ¿Cuál es la cantidad total (unidades) de productos vendidos en todo el mes?</t>
  </si>
  <si>
    <t>1xx</t>
  </si>
  <si>
    <t>¿Cuál es el importe total de ingresos (en Bs.) facturado en la zona 'Aventura'?</t>
  </si>
  <si>
    <t>¿Cuántos productos (en unidades) fueron vendidos por personal de género femenino ('F')?</t>
  </si>
  <si>
    <t>7x</t>
  </si>
  <si>
    <t>¿A cuánto asciende la recaudación total de ingresos por ventas realizadas por personal del rango de edad '41+'?</t>
  </si>
  <si>
    <t>7xx.2x</t>
  </si>
  <si>
    <t>¿Cuál es el promedio de ingresos por transacción (columna Total) en la zona 'Fantasía'?</t>
  </si>
  <si>
    <t>¿Qué vendedor del rango de edad '26-40' registró el mayor total de ingresos facturados?</t>
  </si>
  <si>
    <t>¿Cuántas transacciones registraron un descuento por vencimiento próximo (Descuento &gt; 0)?</t>
  </si>
  <si>
    <t>2x</t>
  </si>
  <si>
    <t>¿Cuál es el producto más vendido (en unidades) en la zona 'Futuro'?</t>
  </si>
  <si>
    <t>¿Cuál es el promedio de edad del personal de ventas que realizó transacciones en la zona 'Terror'?</t>
  </si>
  <si>
    <t>Checksum de Control 2: ¿A cuánto asciende la suma numérica total acumulada de la columna 'Total'?</t>
  </si>
  <si>
    <t>7xx,0x</t>
  </si>
  <si>
    <t>5x,8x</t>
  </si>
  <si>
    <t>Xxxxx</t>
  </si>
  <si>
    <t>Xoxxxxxxxxxxxxxxx</t>
  </si>
  <si>
    <t>3x,2x</t>
  </si>
  <si>
    <t>28xx,8x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</si>
</sst>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b/>
      <i/>
      <sz val="12"/>
      <color rgb="FF595959"/>
      <name val="Segoe UI"/>
    </font>
    <font>
      <b/>
      <sz val="11"/>
      <color rgb="FF1F4E78"/>
      <name val="Segoe UI"/>
    </font>
    <font>
      <sz val="10"/>
      <name val="Segoe UI"/>
    </font>
    <font>
      <b/>
      <sz val="12"/>
      <name val="Segoe UI"/>
    </font>
    <font>
      <b/>
      <sz val="10"/>
      <color rgb="FFFFFFFF"/>
      <name val="Segoe UI"/>
    </font>
    <font>
      <b/>
      <sz val="10"/>
      <name val="Segoe UI"/>
    </font>
    <font>
      <b/>
      <sz val="14"/>
      <color rgb="FFFFFFFF"/>
      <name val="Segoe UI"/>
    </font>
    <font>
      <b/>
      <sz val="9.5"/>
      <color rgb="FFFFFFFF"/>
      <name val="Segoe UI"/>
    </font>
    <font>
      <sz val="9.5"/>
      <name val="Segoe UI"/>
    </font>
    <font>
      <b/>
      <sz val="9.5"/>
      <name val="Segoe UI"/>
    </font>
    <font>
      <b/>
      <sz val="12"/>
      <color rgb="FFFFFFFF"/>
      <name val="Segoe UI"/>
    </font>
    <font>
      <i/>
      <sz val="10"/>
      <name val="Segoe UI"/>
    </font>
    <font>
      <i/>
      <sz val="9"/>
      <name val="Segoe UI"/>
    </font>
    <font>
      <i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4F7"/>
      </patternFill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right"/>
    </xf>
    <xf numFmtId="4" fontId="10" fillId="3" borderId="1" xfId="0" applyNumberFormat="1" applyFont="1" applyFill="1" applyBorder="1" applyAlignment="1">
      <alignment horizontal="right"/>
    </xf>
    <xf numFmtId="164" fontId="10" fillId="3" borderId="1" xfId="0" applyNumberFormat="1" applyFont="1" applyFill="1" applyBorder="1" applyAlignment="1">
      <alignment horizontal="center"/>
    </xf>
    <xf numFmtId="9" fontId="10" fillId="3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3" fontId="10" fillId="4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/>
    <xf numFmtId="3" fontId="11" fillId="5" borderId="1" xfId="0" applyNumberFormat="1" applyFont="1" applyFill="1" applyBorder="1" applyAlignment="1">
      <alignment horizontal="right"/>
    </xf>
    <xf numFmtId="4" fontId="11" fillId="5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7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3" fontId="7" fillId="3" borderId="1" xfId="0" applyNumberFormat="1" applyFont="1" applyFill="1" applyBorder="1" applyAlignment="1" applyProtection="1">
      <alignment horizontal="right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4" fontId="7" fillId="3" borderId="1" xfId="0" applyNumberFormat="1" applyFont="1" applyFill="1" applyBorder="1" applyAlignment="1" applyProtection="1">
      <alignment horizontal="right" vertical="center"/>
      <protection locked="0"/>
    </xf>
    <xf numFmtId="49" fontId="7" fillId="3" borderId="1" xfId="0" applyNumberFormat="1" applyFont="1" applyFill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ont>
        <b/>
        <color rgb="FF7F7F7F"/>
      </font>
      <fill>
        <patternFill patternType="solid">
          <fgColor rgb="FFFFF2CC"/>
          <bgColor rgb="FFFFF2CC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workbookViewId="0"/>
  </sheetViews>
  <sheetFormatPr baseColWidth="10" defaultColWidth="9.140625" defaultRowHeight="15"/>
  <cols>
    <col min="1" max="1" width="4" customWidth="1"/>
    <col min="2" max="2" width="28" customWidth="1"/>
    <col min="3" max="3" width="50" customWidth="1"/>
  </cols>
  <sheetData>
    <row r="2" spans="2:3">
      <c r="B2" s="32" t="s">
        <v>0</v>
      </c>
      <c r="C2" s="32"/>
    </row>
    <row r="3" spans="2:3">
      <c r="B3" s="32"/>
      <c r="C3" s="32"/>
    </row>
    <row r="4" spans="2:3" ht="17.25">
      <c r="B4" s="1" t="s">
        <v>1</v>
      </c>
    </row>
    <row r="6" spans="2:3" ht="16.5">
      <c r="B6" s="2" t="s">
        <v>2</v>
      </c>
    </row>
    <row r="7" spans="2:3">
      <c r="B7" s="3" t="s">
        <v>3</v>
      </c>
    </row>
    <row r="8" spans="2:3">
      <c r="B8" s="3" t="s">
        <v>4</v>
      </c>
    </row>
    <row r="9" spans="2:3">
      <c r="B9" s="3" t="s">
        <v>5</v>
      </c>
    </row>
    <row r="10" spans="2:3">
      <c r="B10" s="3" t="s">
        <v>6</v>
      </c>
    </row>
    <row r="11" spans="2:3">
      <c r="B11" s="3" t="s">
        <v>7</v>
      </c>
    </row>
    <row r="12" spans="2:3">
      <c r="B12" s="3" t="s">
        <v>8</v>
      </c>
    </row>
    <row r="14" spans="2:3" ht="16.5">
      <c r="B14" s="2" t="s">
        <v>9</v>
      </c>
    </row>
    <row r="15" spans="2:3">
      <c r="B15" s="3" t="s">
        <v>10</v>
      </c>
    </row>
    <row r="16" spans="2:3">
      <c r="B16" s="3" t="s">
        <v>11</v>
      </c>
    </row>
    <row r="17" spans="2:3">
      <c r="B17" s="3" t="s">
        <v>12</v>
      </c>
    </row>
    <row r="19" spans="2:3" ht="17.25">
      <c r="B19" s="4" t="s">
        <v>13</v>
      </c>
    </row>
    <row r="20" spans="2:3">
      <c r="B20" s="5" t="s">
        <v>14</v>
      </c>
      <c r="C20" s="5" t="s">
        <v>15</v>
      </c>
    </row>
    <row r="21" spans="2:3">
      <c r="B21" s="6" t="s">
        <v>16</v>
      </c>
      <c r="C21" s="7">
        <v>1000</v>
      </c>
    </row>
    <row r="22" spans="2:3">
      <c r="B22" s="6" t="s">
        <v>17</v>
      </c>
      <c r="C22" s="7">
        <f>SUMIF(Preguntas!F9:F18, "Correcto", Preguntas!C9:C18)</f>
        <v>0</v>
      </c>
    </row>
    <row r="23" spans="2:3">
      <c r="B23" s="6" t="s">
        <v>18</v>
      </c>
      <c r="C23" s="8" t="str">
        <f>IF(C22=1000, "COMPLETADO", IF(C22&gt;=700, "APROBADO", "EN PROGRESO"))</f>
        <v>EN PROGRESO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46"/>
  <sheetViews>
    <sheetView tabSelected="1" workbookViewId="0"/>
  </sheetViews>
  <sheetFormatPr baseColWidth="10" defaultColWidth="9.140625" defaultRowHeight="15"/>
  <cols>
    <col min="1" max="1" width="16" customWidth="1"/>
    <col min="2" max="4" width="14" customWidth="1"/>
    <col min="5" max="5" width="26" customWidth="1"/>
    <col min="6" max="6" width="12" customWidth="1"/>
    <col min="7" max="7" width="16" customWidth="1"/>
    <col min="8" max="9" width="14" customWidth="1"/>
    <col min="10" max="10" width="16" customWidth="1"/>
    <col min="11" max="11" width="18" customWidth="1"/>
    <col min="12" max="12" width="22" customWidth="1"/>
    <col min="13" max="13" width="16" customWidth="1"/>
  </cols>
  <sheetData>
    <row r="2" spans="1:13">
      <c r="A2" s="33" t="s">
        <v>19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5" spans="1:13" ht="32.1" customHeight="1">
      <c r="A5" s="9" t="s">
        <v>20</v>
      </c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9" t="s">
        <v>32</v>
      </c>
    </row>
    <row r="6" spans="1:13">
      <c r="A6" s="10" t="s">
        <v>33</v>
      </c>
      <c r="B6" s="11">
        <v>46296.166666666672</v>
      </c>
      <c r="C6" s="10" t="s">
        <v>34</v>
      </c>
      <c r="D6" s="12" t="s">
        <v>35</v>
      </c>
      <c r="E6" s="12" t="s">
        <v>36</v>
      </c>
      <c r="F6" s="13">
        <v>5</v>
      </c>
      <c r="G6" s="14"/>
      <c r="H6" s="15"/>
      <c r="I6" s="14"/>
      <c r="J6" s="16"/>
      <c r="K6" s="17"/>
      <c r="L6" s="18"/>
      <c r="M6" s="16"/>
    </row>
    <row r="7" spans="1:13">
      <c r="A7" s="19" t="s">
        <v>37</v>
      </c>
      <c r="B7" s="20">
        <v>46296.166666666672</v>
      </c>
      <c r="C7" s="19" t="s">
        <v>38</v>
      </c>
      <c r="D7" s="21" t="s">
        <v>39</v>
      </c>
      <c r="E7" s="21" t="s">
        <v>40</v>
      </c>
      <c r="F7" s="22">
        <v>2</v>
      </c>
      <c r="G7" s="14"/>
      <c r="H7" s="15"/>
      <c r="I7" s="14"/>
      <c r="J7" s="16"/>
      <c r="K7" s="17"/>
      <c r="L7" s="18"/>
      <c r="M7" s="16"/>
    </row>
    <row r="8" spans="1:13">
      <c r="A8" s="10" t="s">
        <v>41</v>
      </c>
      <c r="B8" s="11">
        <v>46296.166666666672</v>
      </c>
      <c r="C8" s="10" t="s">
        <v>42</v>
      </c>
      <c r="D8" s="12" t="s">
        <v>43</v>
      </c>
      <c r="E8" s="12" t="s">
        <v>44</v>
      </c>
      <c r="F8" s="13">
        <v>3</v>
      </c>
      <c r="G8" s="14"/>
      <c r="H8" s="15"/>
      <c r="I8" s="14"/>
      <c r="J8" s="16"/>
      <c r="K8" s="17"/>
      <c r="L8" s="18"/>
      <c r="M8" s="16"/>
    </row>
    <row r="9" spans="1:13">
      <c r="A9" s="19" t="s">
        <v>45</v>
      </c>
      <c r="B9" s="20">
        <v>46296.166666666672</v>
      </c>
      <c r="C9" s="19" t="s">
        <v>46</v>
      </c>
      <c r="D9" s="21" t="s">
        <v>47</v>
      </c>
      <c r="E9" s="21" t="s">
        <v>48</v>
      </c>
      <c r="F9" s="22">
        <v>10</v>
      </c>
      <c r="G9" s="14"/>
      <c r="H9" s="15"/>
      <c r="I9" s="14"/>
      <c r="J9" s="16"/>
      <c r="K9" s="17"/>
      <c r="L9" s="18"/>
      <c r="M9" s="16"/>
    </row>
    <row r="10" spans="1:13">
      <c r="A10" s="10" t="s">
        <v>49</v>
      </c>
      <c r="B10" s="11">
        <v>46297.166666666672</v>
      </c>
      <c r="C10" s="10" t="s">
        <v>34</v>
      </c>
      <c r="D10" s="12" t="s">
        <v>50</v>
      </c>
      <c r="E10" s="12" t="s">
        <v>51</v>
      </c>
      <c r="F10" s="13">
        <v>4</v>
      </c>
      <c r="G10" s="14"/>
      <c r="H10" s="15"/>
      <c r="I10" s="14"/>
      <c r="J10" s="16"/>
      <c r="K10" s="17"/>
      <c r="L10" s="18"/>
      <c r="M10" s="16"/>
    </row>
    <row r="11" spans="1:13">
      <c r="A11" s="19" t="s">
        <v>52</v>
      </c>
      <c r="B11" s="20">
        <v>46297.166666666672</v>
      </c>
      <c r="C11" s="19" t="s">
        <v>38</v>
      </c>
      <c r="D11" s="21" t="s">
        <v>53</v>
      </c>
      <c r="E11" s="21" t="s">
        <v>54</v>
      </c>
      <c r="F11" s="22">
        <v>3</v>
      </c>
      <c r="G11" s="14"/>
      <c r="H11" s="15"/>
      <c r="I11" s="14"/>
      <c r="J11" s="16"/>
      <c r="K11" s="17"/>
      <c r="L11" s="18"/>
      <c r="M11" s="16"/>
    </row>
    <row r="12" spans="1:13">
      <c r="A12" s="10" t="s">
        <v>55</v>
      </c>
      <c r="B12" s="11">
        <v>46297.166666666672</v>
      </c>
      <c r="C12" s="10" t="s">
        <v>42</v>
      </c>
      <c r="D12" s="12" t="s">
        <v>56</v>
      </c>
      <c r="E12" s="12" t="s">
        <v>57</v>
      </c>
      <c r="F12" s="13">
        <v>5</v>
      </c>
      <c r="G12" s="14"/>
      <c r="H12" s="15"/>
      <c r="I12" s="14"/>
      <c r="J12" s="16"/>
      <c r="K12" s="17"/>
      <c r="L12" s="18"/>
      <c r="M12" s="16"/>
    </row>
    <row r="13" spans="1:13">
      <c r="A13" s="19" t="s">
        <v>58</v>
      </c>
      <c r="B13" s="20">
        <v>46298.166666666672</v>
      </c>
      <c r="C13" s="19" t="s">
        <v>46</v>
      </c>
      <c r="D13" s="21" t="s">
        <v>39</v>
      </c>
      <c r="E13" s="21" t="s">
        <v>59</v>
      </c>
      <c r="F13" s="22">
        <v>1</v>
      </c>
      <c r="G13" s="14"/>
      <c r="H13" s="15"/>
      <c r="I13" s="14"/>
      <c r="J13" s="16"/>
      <c r="K13" s="17"/>
      <c r="L13" s="18"/>
      <c r="M13" s="16"/>
    </row>
    <row r="14" spans="1:13">
      <c r="A14" s="10" t="s">
        <v>60</v>
      </c>
      <c r="B14" s="11">
        <v>46298.166666666672</v>
      </c>
      <c r="C14" s="10" t="s">
        <v>34</v>
      </c>
      <c r="D14" s="12" t="s">
        <v>35</v>
      </c>
      <c r="E14" s="12" t="s">
        <v>61</v>
      </c>
      <c r="F14" s="13">
        <v>4</v>
      </c>
      <c r="G14" s="14"/>
      <c r="H14" s="15"/>
      <c r="I14" s="14"/>
      <c r="J14" s="16"/>
      <c r="K14" s="17"/>
      <c r="L14" s="18"/>
      <c r="M14" s="16"/>
    </row>
    <row r="15" spans="1:13">
      <c r="A15" s="19" t="s">
        <v>62</v>
      </c>
      <c r="B15" s="20">
        <v>46298.166666666672</v>
      </c>
      <c r="C15" s="19" t="s">
        <v>38</v>
      </c>
      <c r="D15" s="21" t="s">
        <v>47</v>
      </c>
      <c r="E15" s="21" t="s">
        <v>40</v>
      </c>
      <c r="F15" s="22">
        <v>3</v>
      </c>
      <c r="G15" s="14"/>
      <c r="H15" s="15"/>
      <c r="I15" s="14"/>
      <c r="J15" s="16"/>
      <c r="K15" s="17"/>
      <c r="L15" s="18"/>
      <c r="M15" s="16"/>
    </row>
    <row r="16" spans="1:13">
      <c r="A16" s="10" t="s">
        <v>63</v>
      </c>
      <c r="B16" s="11">
        <v>46299.166666666672</v>
      </c>
      <c r="C16" s="10" t="s">
        <v>42</v>
      </c>
      <c r="D16" s="12" t="s">
        <v>43</v>
      </c>
      <c r="E16" s="12" t="s">
        <v>51</v>
      </c>
      <c r="F16" s="13">
        <v>6</v>
      </c>
      <c r="G16" s="14"/>
      <c r="H16" s="15"/>
      <c r="I16" s="14"/>
      <c r="J16" s="16"/>
      <c r="K16" s="17"/>
      <c r="L16" s="18"/>
      <c r="M16" s="16"/>
    </row>
    <row r="17" spans="1:13">
      <c r="A17" s="19" t="s">
        <v>64</v>
      </c>
      <c r="B17" s="20">
        <v>46299.166666666672</v>
      </c>
      <c r="C17" s="19" t="s">
        <v>46</v>
      </c>
      <c r="D17" s="21" t="s">
        <v>50</v>
      </c>
      <c r="E17" s="21" t="s">
        <v>48</v>
      </c>
      <c r="F17" s="22">
        <v>8</v>
      </c>
      <c r="G17" s="14"/>
      <c r="H17" s="15"/>
      <c r="I17" s="14"/>
      <c r="J17" s="16"/>
      <c r="K17" s="17"/>
      <c r="L17" s="18"/>
      <c r="M17" s="16"/>
    </row>
    <row r="18" spans="1:13">
      <c r="A18" s="10" t="s">
        <v>65</v>
      </c>
      <c r="B18" s="11">
        <v>46300.166666666672</v>
      </c>
      <c r="C18" s="10" t="s">
        <v>34</v>
      </c>
      <c r="D18" s="12" t="s">
        <v>56</v>
      </c>
      <c r="E18" s="12" t="s">
        <v>36</v>
      </c>
      <c r="F18" s="13">
        <v>2</v>
      </c>
      <c r="G18" s="14"/>
      <c r="H18" s="15"/>
      <c r="I18" s="14"/>
      <c r="J18" s="16"/>
      <c r="K18" s="17"/>
      <c r="L18" s="18"/>
      <c r="M18" s="16"/>
    </row>
    <row r="19" spans="1:13">
      <c r="A19" s="19" t="s">
        <v>66</v>
      </c>
      <c r="B19" s="20">
        <v>46300.166666666672</v>
      </c>
      <c r="C19" s="19" t="s">
        <v>38</v>
      </c>
      <c r="D19" s="21" t="s">
        <v>53</v>
      </c>
      <c r="E19" s="21" t="s">
        <v>61</v>
      </c>
      <c r="F19" s="22">
        <v>4</v>
      </c>
      <c r="G19" s="14"/>
      <c r="H19" s="15"/>
      <c r="I19" s="14"/>
      <c r="J19" s="16"/>
      <c r="K19" s="17"/>
      <c r="L19" s="18"/>
      <c r="M19" s="16"/>
    </row>
    <row r="20" spans="1:13">
      <c r="A20" s="10" t="s">
        <v>67</v>
      </c>
      <c r="B20" s="11">
        <v>46300.166666666672</v>
      </c>
      <c r="C20" s="10" t="s">
        <v>42</v>
      </c>
      <c r="D20" s="12" t="s">
        <v>39</v>
      </c>
      <c r="E20" s="12" t="s">
        <v>44</v>
      </c>
      <c r="F20" s="13">
        <v>3</v>
      </c>
      <c r="G20" s="14"/>
      <c r="H20" s="15"/>
      <c r="I20" s="14"/>
      <c r="J20" s="16"/>
      <c r="K20" s="17"/>
      <c r="L20" s="18"/>
      <c r="M20" s="16"/>
    </row>
    <row r="21" spans="1:13">
      <c r="A21" s="19" t="s">
        <v>68</v>
      </c>
      <c r="B21" s="20">
        <v>46301.166666666672</v>
      </c>
      <c r="C21" s="19" t="s">
        <v>46</v>
      </c>
      <c r="D21" s="21" t="s">
        <v>47</v>
      </c>
      <c r="E21" s="21" t="s">
        <v>59</v>
      </c>
      <c r="F21" s="22">
        <v>2</v>
      </c>
      <c r="G21" s="14"/>
      <c r="H21" s="15"/>
      <c r="I21" s="14"/>
      <c r="J21" s="16"/>
      <c r="K21" s="17"/>
      <c r="L21" s="18"/>
      <c r="M21" s="16"/>
    </row>
    <row r="22" spans="1:13">
      <c r="A22" s="10" t="s">
        <v>69</v>
      </c>
      <c r="B22" s="11">
        <v>46301.166666666672</v>
      </c>
      <c r="C22" s="10" t="s">
        <v>34</v>
      </c>
      <c r="D22" s="12" t="s">
        <v>35</v>
      </c>
      <c r="E22" s="12" t="s">
        <v>51</v>
      </c>
      <c r="F22" s="13">
        <v>5</v>
      </c>
      <c r="G22" s="14"/>
      <c r="H22" s="15"/>
      <c r="I22" s="14"/>
      <c r="J22" s="16"/>
      <c r="K22" s="17"/>
      <c r="L22" s="18"/>
      <c r="M22" s="16"/>
    </row>
    <row r="23" spans="1:13">
      <c r="A23" s="19" t="s">
        <v>70</v>
      </c>
      <c r="B23" s="20">
        <v>46301.166666666672</v>
      </c>
      <c r="C23" s="19" t="s">
        <v>38</v>
      </c>
      <c r="D23" s="21" t="s">
        <v>43</v>
      </c>
      <c r="E23" s="21" t="s">
        <v>40</v>
      </c>
      <c r="F23" s="22">
        <v>4</v>
      </c>
      <c r="G23" s="14"/>
      <c r="H23" s="15"/>
      <c r="I23" s="14"/>
      <c r="J23" s="16"/>
      <c r="K23" s="17"/>
      <c r="L23" s="18"/>
      <c r="M23" s="16"/>
    </row>
    <row r="24" spans="1:13">
      <c r="A24" s="10" t="s">
        <v>71</v>
      </c>
      <c r="B24" s="11">
        <v>46302.166666666672</v>
      </c>
      <c r="C24" s="10" t="s">
        <v>42</v>
      </c>
      <c r="D24" s="12" t="s">
        <v>50</v>
      </c>
      <c r="E24" s="12" t="s">
        <v>57</v>
      </c>
      <c r="F24" s="13">
        <v>3</v>
      </c>
      <c r="G24" s="14"/>
      <c r="H24" s="15"/>
      <c r="I24" s="14"/>
      <c r="J24" s="16"/>
      <c r="K24" s="17"/>
      <c r="L24" s="18"/>
      <c r="M24" s="16"/>
    </row>
    <row r="25" spans="1:13">
      <c r="A25" s="19" t="s">
        <v>72</v>
      </c>
      <c r="B25" s="20">
        <v>46302.166666666672</v>
      </c>
      <c r="C25" s="19" t="s">
        <v>46</v>
      </c>
      <c r="D25" s="21" t="s">
        <v>56</v>
      </c>
      <c r="E25" s="21" t="s">
        <v>48</v>
      </c>
      <c r="F25" s="22">
        <v>7</v>
      </c>
      <c r="G25" s="14"/>
      <c r="H25" s="15"/>
      <c r="I25" s="14"/>
      <c r="J25" s="16"/>
      <c r="K25" s="17"/>
      <c r="L25" s="18"/>
      <c r="M25" s="16"/>
    </row>
    <row r="26" spans="1:13">
      <c r="A26" s="10" t="s">
        <v>73</v>
      </c>
      <c r="B26" s="11">
        <v>46303.166666666672</v>
      </c>
      <c r="C26" s="10" t="s">
        <v>34</v>
      </c>
      <c r="D26" s="12" t="s">
        <v>53</v>
      </c>
      <c r="E26" s="12" t="s">
        <v>54</v>
      </c>
      <c r="F26" s="13">
        <v>6</v>
      </c>
      <c r="G26" s="14"/>
      <c r="H26" s="15"/>
      <c r="I26" s="14"/>
      <c r="J26" s="16"/>
      <c r="K26" s="17"/>
      <c r="L26" s="18"/>
      <c r="M26" s="16"/>
    </row>
    <row r="27" spans="1:13">
      <c r="A27" s="19" t="s">
        <v>74</v>
      </c>
      <c r="B27" s="20">
        <v>46303.166666666672</v>
      </c>
      <c r="C27" s="19" t="s">
        <v>38</v>
      </c>
      <c r="D27" s="21" t="s">
        <v>39</v>
      </c>
      <c r="E27" s="21" t="s">
        <v>36</v>
      </c>
      <c r="F27" s="22">
        <v>3</v>
      </c>
      <c r="G27" s="14"/>
      <c r="H27" s="15"/>
      <c r="I27" s="14"/>
      <c r="J27" s="16"/>
      <c r="K27" s="17"/>
      <c r="L27" s="18"/>
      <c r="M27" s="16"/>
    </row>
    <row r="28" spans="1:13">
      <c r="A28" s="10" t="s">
        <v>75</v>
      </c>
      <c r="B28" s="11">
        <v>46303.166666666672</v>
      </c>
      <c r="C28" s="10" t="s">
        <v>42</v>
      </c>
      <c r="D28" s="12" t="s">
        <v>47</v>
      </c>
      <c r="E28" s="12" t="s">
        <v>59</v>
      </c>
      <c r="F28" s="13">
        <v>1</v>
      </c>
      <c r="G28" s="14"/>
      <c r="H28" s="15"/>
      <c r="I28" s="14"/>
      <c r="J28" s="16"/>
      <c r="K28" s="17"/>
      <c r="L28" s="18"/>
      <c r="M28" s="16"/>
    </row>
    <row r="29" spans="1:13">
      <c r="A29" s="19" t="s">
        <v>76</v>
      </c>
      <c r="B29" s="20">
        <v>46304.166666666672</v>
      </c>
      <c r="C29" s="19" t="s">
        <v>46</v>
      </c>
      <c r="D29" s="21" t="s">
        <v>35</v>
      </c>
      <c r="E29" s="21" t="s">
        <v>48</v>
      </c>
      <c r="F29" s="22">
        <v>5</v>
      </c>
      <c r="G29" s="14"/>
      <c r="H29" s="15"/>
      <c r="I29" s="14"/>
      <c r="J29" s="16"/>
      <c r="K29" s="17"/>
      <c r="L29" s="18"/>
      <c r="M29" s="16"/>
    </row>
    <row r="30" spans="1:13">
      <c r="A30" s="10" t="s">
        <v>77</v>
      </c>
      <c r="B30" s="11">
        <v>46304.166666666672</v>
      </c>
      <c r="C30" s="10" t="s">
        <v>34</v>
      </c>
      <c r="D30" s="12" t="s">
        <v>43</v>
      </c>
      <c r="E30" s="12" t="s">
        <v>61</v>
      </c>
      <c r="F30" s="13">
        <v>2</v>
      </c>
      <c r="G30" s="14"/>
      <c r="H30" s="15"/>
      <c r="I30" s="14"/>
      <c r="J30" s="16"/>
      <c r="K30" s="17"/>
      <c r="L30" s="18"/>
      <c r="M30" s="16"/>
    </row>
    <row r="31" spans="1:13">
      <c r="A31" s="19" t="s">
        <v>78</v>
      </c>
      <c r="B31" s="20">
        <v>46304.166666666672</v>
      </c>
      <c r="C31" s="19" t="s">
        <v>38</v>
      </c>
      <c r="D31" s="21" t="s">
        <v>50</v>
      </c>
      <c r="E31" s="21" t="s">
        <v>40</v>
      </c>
      <c r="F31" s="22">
        <v>3</v>
      </c>
      <c r="G31" s="14"/>
      <c r="H31" s="15"/>
      <c r="I31" s="14"/>
      <c r="J31" s="16"/>
      <c r="K31" s="17"/>
      <c r="L31" s="18"/>
      <c r="M31" s="16"/>
    </row>
    <row r="32" spans="1:13">
      <c r="A32" s="10" t="s">
        <v>79</v>
      </c>
      <c r="B32" s="11">
        <v>46305.166666666672</v>
      </c>
      <c r="C32" s="10" t="s">
        <v>42</v>
      </c>
      <c r="D32" s="12" t="s">
        <v>56</v>
      </c>
      <c r="E32" s="12" t="s">
        <v>44</v>
      </c>
      <c r="F32" s="13">
        <v>4</v>
      </c>
      <c r="G32" s="14"/>
      <c r="H32" s="15"/>
      <c r="I32" s="14"/>
      <c r="J32" s="16"/>
      <c r="K32" s="17"/>
      <c r="L32" s="18"/>
      <c r="M32" s="16"/>
    </row>
    <row r="33" spans="1:13">
      <c r="A33" s="19" t="s">
        <v>80</v>
      </c>
      <c r="B33" s="20">
        <v>46305.166666666672</v>
      </c>
      <c r="C33" s="19" t="s">
        <v>46</v>
      </c>
      <c r="D33" s="21" t="s">
        <v>53</v>
      </c>
      <c r="E33" s="21" t="s">
        <v>59</v>
      </c>
      <c r="F33" s="22">
        <v>3</v>
      </c>
      <c r="G33" s="14"/>
      <c r="H33" s="15"/>
      <c r="I33" s="14"/>
      <c r="J33" s="16"/>
      <c r="K33" s="17"/>
      <c r="L33" s="18"/>
      <c r="M33" s="16"/>
    </row>
    <row r="34" spans="1:13">
      <c r="A34" s="10" t="s">
        <v>81</v>
      </c>
      <c r="B34" s="11">
        <v>46306.166666666672</v>
      </c>
      <c r="C34" s="10" t="s">
        <v>34</v>
      </c>
      <c r="D34" s="12" t="s">
        <v>39</v>
      </c>
      <c r="E34" s="12" t="s">
        <v>54</v>
      </c>
      <c r="F34" s="13">
        <v>5</v>
      </c>
      <c r="G34" s="14"/>
      <c r="H34" s="15"/>
      <c r="I34" s="14"/>
      <c r="J34" s="16"/>
      <c r="K34" s="17"/>
      <c r="L34" s="18"/>
      <c r="M34" s="16"/>
    </row>
    <row r="35" spans="1:13">
      <c r="A35" s="19" t="s">
        <v>82</v>
      </c>
      <c r="B35" s="20">
        <v>46306.166666666672</v>
      </c>
      <c r="C35" s="19" t="s">
        <v>38</v>
      </c>
      <c r="D35" s="21" t="s">
        <v>47</v>
      </c>
      <c r="E35" s="21" t="s">
        <v>61</v>
      </c>
      <c r="F35" s="22">
        <v>3</v>
      </c>
      <c r="G35" s="14"/>
      <c r="H35" s="15"/>
      <c r="I35" s="14"/>
      <c r="J35" s="16"/>
      <c r="K35" s="17"/>
      <c r="L35" s="18"/>
      <c r="M35" s="16"/>
    </row>
    <row r="36" spans="1:13">
      <c r="A36" s="10" t="s">
        <v>83</v>
      </c>
      <c r="B36" s="11">
        <v>46307.166666666672</v>
      </c>
      <c r="C36" s="10" t="s">
        <v>42</v>
      </c>
      <c r="D36" s="12" t="s">
        <v>35</v>
      </c>
      <c r="E36" s="12" t="s">
        <v>51</v>
      </c>
      <c r="F36" s="13">
        <v>4</v>
      </c>
      <c r="G36" s="14"/>
      <c r="H36" s="15"/>
      <c r="I36" s="14"/>
      <c r="J36" s="16"/>
      <c r="K36" s="17"/>
      <c r="L36" s="18"/>
      <c r="M36" s="16"/>
    </row>
    <row r="37" spans="1:13">
      <c r="A37" s="19" t="s">
        <v>84</v>
      </c>
      <c r="B37" s="20">
        <v>46307.166666666672</v>
      </c>
      <c r="C37" s="19" t="s">
        <v>46</v>
      </c>
      <c r="D37" s="21" t="s">
        <v>43</v>
      </c>
      <c r="E37" s="21" t="s">
        <v>48</v>
      </c>
      <c r="F37" s="22">
        <v>6</v>
      </c>
      <c r="G37" s="14"/>
      <c r="H37" s="15"/>
      <c r="I37" s="14"/>
      <c r="J37" s="16"/>
      <c r="K37" s="17"/>
      <c r="L37" s="18"/>
      <c r="M37" s="16"/>
    </row>
    <row r="38" spans="1:13">
      <c r="A38" s="10" t="s">
        <v>85</v>
      </c>
      <c r="B38" s="11">
        <v>46308.166666666672</v>
      </c>
      <c r="C38" s="10" t="s">
        <v>34</v>
      </c>
      <c r="D38" s="12" t="s">
        <v>50</v>
      </c>
      <c r="E38" s="12" t="s">
        <v>36</v>
      </c>
      <c r="F38" s="13">
        <v>3</v>
      </c>
      <c r="G38" s="14"/>
      <c r="H38" s="15"/>
      <c r="I38" s="14"/>
      <c r="J38" s="16"/>
      <c r="K38" s="17"/>
      <c r="L38" s="18"/>
      <c r="M38" s="16"/>
    </row>
    <row r="39" spans="1:13">
      <c r="A39" s="19" t="s">
        <v>86</v>
      </c>
      <c r="B39" s="20">
        <v>46308.166666666672</v>
      </c>
      <c r="C39" s="19" t="s">
        <v>38</v>
      </c>
      <c r="D39" s="21" t="s">
        <v>56</v>
      </c>
      <c r="E39" s="21" t="s">
        <v>40</v>
      </c>
      <c r="F39" s="22">
        <v>2</v>
      </c>
      <c r="G39" s="14"/>
      <c r="H39" s="15"/>
      <c r="I39" s="14"/>
      <c r="J39" s="16"/>
      <c r="K39" s="17"/>
      <c r="L39" s="18"/>
      <c r="M39" s="16"/>
    </row>
    <row r="40" spans="1:13">
      <c r="A40" s="10" t="s">
        <v>87</v>
      </c>
      <c r="B40" s="11">
        <v>46308.166666666672</v>
      </c>
      <c r="C40" s="10" t="s">
        <v>42</v>
      </c>
      <c r="D40" s="12" t="s">
        <v>53</v>
      </c>
      <c r="E40" s="12" t="s">
        <v>57</v>
      </c>
      <c r="F40" s="13">
        <v>4</v>
      </c>
      <c r="G40" s="14"/>
      <c r="H40" s="15"/>
      <c r="I40" s="14"/>
      <c r="J40" s="16"/>
      <c r="K40" s="17"/>
      <c r="L40" s="18"/>
      <c r="M40" s="16"/>
    </row>
    <row r="41" spans="1:13">
      <c r="A41" s="19" t="s">
        <v>88</v>
      </c>
      <c r="B41" s="20">
        <v>46309.166666666672</v>
      </c>
      <c r="C41" s="19" t="s">
        <v>46</v>
      </c>
      <c r="D41" s="21" t="s">
        <v>39</v>
      </c>
      <c r="E41" s="21" t="s">
        <v>59</v>
      </c>
      <c r="F41" s="22">
        <v>2</v>
      </c>
      <c r="G41" s="14"/>
      <c r="H41" s="15"/>
      <c r="I41" s="14"/>
      <c r="J41" s="16"/>
      <c r="K41" s="17"/>
      <c r="L41" s="18"/>
      <c r="M41" s="16"/>
    </row>
    <row r="42" spans="1:13">
      <c r="A42" s="10" t="s">
        <v>89</v>
      </c>
      <c r="B42" s="11">
        <v>46309.166666666672</v>
      </c>
      <c r="C42" s="10" t="s">
        <v>34</v>
      </c>
      <c r="D42" s="12" t="s">
        <v>47</v>
      </c>
      <c r="E42" s="12" t="s">
        <v>51</v>
      </c>
      <c r="F42" s="13">
        <v>3</v>
      </c>
      <c r="G42" s="14"/>
      <c r="H42" s="15"/>
      <c r="I42" s="14"/>
      <c r="J42" s="16"/>
      <c r="K42" s="17"/>
      <c r="L42" s="18"/>
      <c r="M42" s="16"/>
    </row>
    <row r="43" spans="1:13">
      <c r="A43" s="19" t="s">
        <v>90</v>
      </c>
      <c r="B43" s="20">
        <v>46309.166666666672</v>
      </c>
      <c r="C43" s="19" t="s">
        <v>38</v>
      </c>
      <c r="D43" s="21" t="s">
        <v>35</v>
      </c>
      <c r="E43" s="21" t="s">
        <v>61</v>
      </c>
      <c r="F43" s="22">
        <v>5</v>
      </c>
      <c r="G43" s="14"/>
      <c r="H43" s="15"/>
      <c r="I43" s="14"/>
      <c r="J43" s="16"/>
      <c r="K43" s="17"/>
      <c r="L43" s="18"/>
      <c r="M43" s="16"/>
    </row>
    <row r="44" spans="1:13">
      <c r="A44" s="10" t="s">
        <v>91</v>
      </c>
      <c r="B44" s="11">
        <v>46310.166666666672</v>
      </c>
      <c r="C44" s="10" t="s">
        <v>42</v>
      </c>
      <c r="D44" s="12" t="s">
        <v>43</v>
      </c>
      <c r="E44" s="12" t="s">
        <v>44</v>
      </c>
      <c r="F44" s="13">
        <v>5</v>
      </c>
      <c r="G44" s="14"/>
      <c r="H44" s="15"/>
      <c r="I44" s="14"/>
      <c r="J44" s="16"/>
      <c r="K44" s="17"/>
      <c r="L44" s="18"/>
      <c r="M44" s="16"/>
    </row>
    <row r="45" spans="1:13">
      <c r="A45" s="19" t="s">
        <v>92</v>
      </c>
      <c r="B45" s="20">
        <v>46310.166666666672</v>
      </c>
      <c r="C45" s="19" t="s">
        <v>46</v>
      </c>
      <c r="D45" s="21" t="s">
        <v>50</v>
      </c>
      <c r="E45" s="21" t="s">
        <v>48</v>
      </c>
      <c r="F45" s="22">
        <v>9</v>
      </c>
      <c r="G45" s="14"/>
      <c r="H45" s="15"/>
      <c r="I45" s="14"/>
      <c r="J45" s="16"/>
      <c r="K45" s="17"/>
      <c r="L45" s="18"/>
      <c r="M45" s="16"/>
    </row>
    <row r="46" spans="1:13">
      <c r="A46" s="23" t="s">
        <v>93</v>
      </c>
      <c r="B46" s="24"/>
      <c r="C46" s="24"/>
      <c r="D46" s="24"/>
      <c r="E46" s="24"/>
      <c r="F46" s="25">
        <f>SUM(F6:F45)</f>
        <v>162</v>
      </c>
      <c r="G46" s="24"/>
      <c r="H46" s="24"/>
      <c r="I46" s="24"/>
      <c r="J46" s="24"/>
      <c r="K46" s="24"/>
      <c r="L46" s="24"/>
      <c r="M46" s="26">
        <f>SUM(M6:M45)</f>
        <v>0</v>
      </c>
    </row>
  </sheetData>
  <mergeCells count="1">
    <mergeCell ref="A2:M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1"/>
  <sheetViews>
    <sheetView workbookViewId="0"/>
  </sheetViews>
  <sheetFormatPr baseColWidth="10" defaultColWidth="9.140625" defaultRowHeight="15"/>
  <cols>
    <col min="1" max="1" width="4" customWidth="1"/>
    <col min="2" max="2" width="28" customWidth="1"/>
    <col min="3" max="3" width="18" customWidth="1"/>
    <col min="4" max="4" width="20" customWidth="1"/>
    <col min="5" max="5" width="4" customWidth="1"/>
    <col min="6" max="6" width="18" customWidth="1"/>
    <col min="7" max="7" width="10" customWidth="1"/>
    <col min="8" max="8" width="18" customWidth="1"/>
  </cols>
  <sheetData>
    <row r="2" spans="2:8">
      <c r="B2" s="34" t="s">
        <v>94</v>
      </c>
      <c r="C2" s="34"/>
      <c r="D2" s="34"/>
      <c r="F2" s="34" t="s">
        <v>95</v>
      </c>
      <c r="G2" s="34"/>
      <c r="H2" s="34"/>
    </row>
    <row r="3" spans="2:8">
      <c r="B3" s="34"/>
      <c r="C3" s="34"/>
      <c r="D3" s="34"/>
      <c r="F3" s="34"/>
      <c r="G3" s="34"/>
      <c r="H3" s="34"/>
    </row>
    <row r="12" spans="2:8">
      <c r="B12" s="27" t="s">
        <v>24</v>
      </c>
      <c r="C12" s="27" t="s">
        <v>96</v>
      </c>
      <c r="D12" s="27" t="s">
        <v>30</v>
      </c>
      <c r="F12" s="27" t="s">
        <v>23</v>
      </c>
      <c r="G12" s="27" t="s">
        <v>97</v>
      </c>
      <c r="H12" s="27" t="s">
        <v>98</v>
      </c>
    </row>
    <row r="13" spans="2:8">
      <c r="B13" s="28" t="s">
        <v>36</v>
      </c>
      <c r="C13" s="29">
        <v>15</v>
      </c>
      <c r="D13" s="30">
        <v>46310.166666666672</v>
      </c>
      <c r="F13" s="28" t="s">
        <v>53</v>
      </c>
      <c r="G13" s="31" t="s">
        <v>99</v>
      </c>
      <c r="H13" s="30">
        <v>33005.166666666664</v>
      </c>
    </row>
    <row r="14" spans="2:8">
      <c r="B14" s="28" t="s">
        <v>61</v>
      </c>
      <c r="C14" s="29">
        <v>25</v>
      </c>
      <c r="D14" s="30">
        <v>46300.166666666672</v>
      </c>
      <c r="F14" s="28" t="s">
        <v>35</v>
      </c>
      <c r="G14" s="31" t="s">
        <v>100</v>
      </c>
      <c r="H14" s="30">
        <v>38252.166666666664</v>
      </c>
    </row>
    <row r="15" spans="2:8">
      <c r="B15" s="28" t="s">
        <v>44</v>
      </c>
      <c r="C15" s="29">
        <v>30</v>
      </c>
      <c r="D15" s="30">
        <v>46371.166666666672</v>
      </c>
      <c r="F15" s="28" t="s">
        <v>39</v>
      </c>
      <c r="G15" s="31" t="s">
        <v>99</v>
      </c>
      <c r="H15" s="30">
        <v>30299.166666666668</v>
      </c>
    </row>
    <row r="16" spans="2:8">
      <c r="B16" s="28" t="s">
        <v>54</v>
      </c>
      <c r="C16" s="29">
        <v>20</v>
      </c>
      <c r="D16" s="30">
        <v>46325.166666666672</v>
      </c>
      <c r="F16" s="28" t="s">
        <v>56</v>
      </c>
      <c r="G16" s="31" t="s">
        <v>100</v>
      </c>
      <c r="H16" s="30">
        <v>39118.166666666664</v>
      </c>
    </row>
    <row r="17" spans="2:8">
      <c r="B17" s="28" t="s">
        <v>51</v>
      </c>
      <c r="C17" s="29">
        <v>18</v>
      </c>
      <c r="D17" s="30">
        <v>46320.166666666672</v>
      </c>
      <c r="F17" s="28" t="s">
        <v>43</v>
      </c>
      <c r="G17" s="31" t="s">
        <v>99</v>
      </c>
      <c r="H17" s="30">
        <v>36391.166666666664</v>
      </c>
    </row>
    <row r="18" spans="2:8">
      <c r="B18" s="28" t="s">
        <v>59</v>
      </c>
      <c r="C18" s="29">
        <v>35</v>
      </c>
      <c r="D18" s="30">
        <v>46477.166666666672</v>
      </c>
      <c r="F18" s="28" t="s">
        <v>50</v>
      </c>
      <c r="G18" s="31" t="s">
        <v>100</v>
      </c>
      <c r="H18" s="30">
        <v>37225.166666666664</v>
      </c>
    </row>
    <row r="19" spans="2:8">
      <c r="B19" s="28" t="s">
        <v>57</v>
      </c>
      <c r="C19" s="29">
        <v>12</v>
      </c>
      <c r="D19" s="30">
        <v>46387.166666666672</v>
      </c>
      <c r="F19" s="28" t="s">
        <v>47</v>
      </c>
      <c r="G19" s="31" t="s">
        <v>99</v>
      </c>
      <c r="H19" s="30">
        <v>27195.166666666668</v>
      </c>
    </row>
    <row r="20" spans="2:8">
      <c r="B20" s="28" t="s">
        <v>40</v>
      </c>
      <c r="C20" s="29">
        <v>40</v>
      </c>
      <c r="D20" s="30">
        <v>46305.166666666672</v>
      </c>
    </row>
    <row r="21" spans="2:8">
      <c r="B21" s="28" t="s">
        <v>48</v>
      </c>
      <c r="C21" s="29">
        <v>10</v>
      </c>
      <c r="D21" s="30">
        <v>46357.166666666672</v>
      </c>
    </row>
  </sheetData>
  <mergeCells count="2">
    <mergeCell ref="B2:D3"/>
    <mergeCell ref="F2:H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4"/>
  <sheetViews>
    <sheetView workbookViewId="0"/>
  </sheetViews>
  <sheetFormatPr baseColWidth="10" defaultColWidth="9.140625" defaultRowHeight="15"/>
  <cols>
    <col min="1" max="1" width="4" customWidth="1"/>
    <col min="2" max="2" width="80" customWidth="1"/>
  </cols>
  <sheetData>
    <row r="2" spans="2:5">
      <c r="B2" s="35" t="s">
        <v>101</v>
      </c>
      <c r="C2" s="35"/>
      <c r="D2" s="35"/>
      <c r="E2" s="35"/>
    </row>
    <row r="3" spans="2:5" ht="42.75" customHeight="1">
      <c r="B3" s="35"/>
      <c r="C3" s="35"/>
      <c r="D3" s="35"/>
      <c r="E3" s="35"/>
    </row>
    <row r="4" spans="2:5" ht="54.75" customHeight="1">
      <c r="B4" s="35"/>
      <c r="C4" s="35"/>
      <c r="D4" s="35"/>
      <c r="E4" s="35"/>
    </row>
  </sheetData>
  <mergeCells count="1">
    <mergeCell ref="B2:E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8"/>
  <sheetViews>
    <sheetView zoomScale="130" zoomScaleNormal="130" workbookViewId="0">
      <selection activeCell="D9" sqref="D9"/>
    </sheetView>
  </sheetViews>
  <sheetFormatPr baseColWidth="10" defaultColWidth="9.140625" defaultRowHeight="15"/>
  <cols>
    <col min="1" max="1" width="6" style="37" customWidth="1"/>
    <col min="2" max="2" width="75" style="37" customWidth="1"/>
    <col min="3" max="3" width="8" style="37" customWidth="1"/>
    <col min="4" max="4" width="20" style="37" customWidth="1"/>
    <col min="5" max="5" width="16" style="37" customWidth="1"/>
    <col min="6" max="6" width="14" style="37" customWidth="1"/>
    <col min="7" max="16384" width="9.140625" style="37"/>
  </cols>
  <sheetData>
    <row r="2" spans="1:6">
      <c r="A2" s="36" t="s">
        <v>102</v>
      </c>
      <c r="B2" s="36"/>
      <c r="C2" s="36"/>
      <c r="D2" s="36"/>
      <c r="E2" s="36"/>
      <c r="F2" s="36"/>
    </row>
    <row r="3" spans="1:6">
      <c r="A3" s="36"/>
      <c r="B3" s="36"/>
      <c r="C3" s="36"/>
      <c r="D3" s="36"/>
      <c r="E3" s="36"/>
      <c r="F3" s="36"/>
    </row>
    <row r="5" spans="1:6">
      <c r="A5" s="38" t="s">
        <v>103</v>
      </c>
      <c r="B5" s="38"/>
      <c r="C5" s="38"/>
      <c r="D5" s="38"/>
      <c r="E5" s="38"/>
      <c r="F5" s="38"/>
    </row>
    <row r="6" spans="1:6">
      <c r="A6" s="38"/>
      <c r="B6" s="38"/>
      <c r="C6" s="38"/>
      <c r="D6" s="38"/>
      <c r="E6" s="38"/>
      <c r="F6" s="38"/>
    </row>
    <row r="8" spans="1:6" ht="24" customHeight="1">
      <c r="A8" s="39" t="s">
        <v>104</v>
      </c>
      <c r="B8" s="39" t="s">
        <v>105</v>
      </c>
      <c r="C8" s="39" t="s">
        <v>106</v>
      </c>
      <c r="D8" s="39" t="s">
        <v>107</v>
      </c>
      <c r="E8" s="39" t="s">
        <v>108</v>
      </c>
      <c r="F8" s="39" t="s">
        <v>109</v>
      </c>
    </row>
    <row r="9" spans="1:6" ht="27.95" customHeight="1">
      <c r="A9" s="40">
        <v>1</v>
      </c>
      <c r="B9" s="41" t="s">
        <v>110</v>
      </c>
      <c r="C9" s="42">
        <v>100</v>
      </c>
      <c r="D9" s="43"/>
      <c r="E9" s="44" t="s">
        <v>111</v>
      </c>
      <c r="F9" s="47" t="str">
        <f>IF(ISBLANK(D9), "Pendiente", IF(D9=162, "Correcto", "Incorrecto"))</f>
        <v>Pendiente</v>
      </c>
    </row>
    <row r="10" spans="1:6" ht="27.95" customHeight="1">
      <c r="A10" s="40">
        <v>2</v>
      </c>
      <c r="B10" s="41" t="s">
        <v>112</v>
      </c>
      <c r="C10" s="42">
        <v>100</v>
      </c>
      <c r="D10" s="45"/>
      <c r="E10" s="44" t="s">
        <v>124</v>
      </c>
      <c r="F10" s="47" t="str">
        <f>IF(ISBLANK(D10), "Pendiente", IF(ROUND(D10,2)=772, "Correcto", "Incorrecto"))</f>
        <v>Pendiente</v>
      </c>
    </row>
    <row r="11" spans="1:6" ht="27.95" customHeight="1">
      <c r="A11" s="40">
        <v>3</v>
      </c>
      <c r="B11" s="41" t="s">
        <v>113</v>
      </c>
      <c r="C11" s="42">
        <v>100</v>
      </c>
      <c r="D11" s="43"/>
      <c r="E11" s="44" t="s">
        <v>114</v>
      </c>
      <c r="F11" s="47" t="str">
        <f>IF(ISBLANK(D11), "Pendiente", IF(D11=78, "Correcto", "Incorrecto"))</f>
        <v>Pendiente</v>
      </c>
    </row>
    <row r="12" spans="1:6" ht="27.95" customHeight="1">
      <c r="A12" s="40">
        <v>4</v>
      </c>
      <c r="B12" s="41" t="s">
        <v>115</v>
      </c>
      <c r="C12" s="42">
        <v>100</v>
      </c>
      <c r="D12" s="45"/>
      <c r="E12" s="44" t="s">
        <v>116</v>
      </c>
      <c r="F12" s="47" t="str">
        <f>IF(ISBLANK(D12), "Pendiente", IF(ROUND(D12,2)=779.2, "Correcto", "Incorrecto"))</f>
        <v>Pendiente</v>
      </c>
    </row>
    <row r="13" spans="1:6" ht="27.95" customHeight="1">
      <c r="A13" s="40">
        <v>5</v>
      </c>
      <c r="B13" s="41" t="s">
        <v>117</v>
      </c>
      <c r="C13" s="42">
        <v>100</v>
      </c>
      <c r="D13" s="45"/>
      <c r="E13" s="44" t="s">
        <v>125</v>
      </c>
      <c r="F13" s="47" t="str">
        <f>IF(ISBLANK(D13), "Pendiente", IF(ROUND(D13,2)=58.88, "Correcto", "Incorrecto"))</f>
        <v>Pendiente</v>
      </c>
    </row>
    <row r="14" spans="1:6" ht="27.95" customHeight="1">
      <c r="A14" s="40">
        <v>6</v>
      </c>
      <c r="B14" s="41" t="s">
        <v>118</v>
      </c>
      <c r="C14" s="42">
        <v>100</v>
      </c>
      <c r="D14" s="46"/>
      <c r="E14" s="44" t="s">
        <v>126</v>
      </c>
      <c r="F14" s="47" t="str">
        <f>IF(ISBLANK(D14), "Pendiente", IF(D14="Mateo", "Correcto", "Incorrecto"))</f>
        <v>Pendiente</v>
      </c>
    </row>
    <row r="15" spans="1:6" ht="27.95" customHeight="1">
      <c r="A15" s="40">
        <v>7</v>
      </c>
      <c r="B15" s="41" t="s">
        <v>119</v>
      </c>
      <c r="C15" s="42">
        <v>100</v>
      </c>
      <c r="D15" s="43"/>
      <c r="E15" s="44" t="s">
        <v>120</v>
      </c>
      <c r="F15" s="47" t="str">
        <f>IF(ISBLANK(D15), "Pendiente", IF(D15=22, "Correcto", "Incorrecto"))</f>
        <v>Pendiente</v>
      </c>
    </row>
    <row r="16" spans="1:6" ht="27.95" customHeight="1">
      <c r="A16" s="40">
        <v>8</v>
      </c>
      <c r="B16" s="41" t="s">
        <v>121</v>
      </c>
      <c r="C16" s="42">
        <v>100</v>
      </c>
      <c r="D16" s="46"/>
      <c r="E16" s="44" t="s">
        <v>127</v>
      </c>
      <c r="F16" s="47" t="str">
        <f>IF(ISBLANK(D16), "Pendiente", IF(D16="Gomitas Flotantes", "Correcto", "Incorrecto"))</f>
        <v>Pendiente</v>
      </c>
    </row>
    <row r="17" spans="1:6" ht="27.95" customHeight="1">
      <c r="A17" s="40">
        <v>9</v>
      </c>
      <c r="B17" s="41" t="s">
        <v>122</v>
      </c>
      <c r="C17" s="42">
        <v>100</v>
      </c>
      <c r="D17" s="45"/>
      <c r="E17" s="44" t="s">
        <v>128</v>
      </c>
      <c r="F17" s="47" t="str">
        <f>IF(ISBLANK(D17), "Pendiente", IF(ROUND(D17,2)=34.2, "Correcto", "Incorrecto"))</f>
        <v>Pendiente</v>
      </c>
    </row>
    <row r="18" spans="1:6" ht="27.95" customHeight="1">
      <c r="A18" s="40">
        <v>10</v>
      </c>
      <c r="B18" s="41" t="s">
        <v>123</v>
      </c>
      <c r="C18" s="42">
        <v>100</v>
      </c>
      <c r="D18" s="45"/>
      <c r="E18" s="44" t="s">
        <v>129</v>
      </c>
      <c r="F18" s="47" t="str">
        <f>IF(ISBLANK(D18), "Pendiente", IF(ROUND(D18,2)=2863.8, "Correcto", "Incorrecto"))</f>
        <v>Pendiente</v>
      </c>
    </row>
  </sheetData>
  <sheetProtection algorithmName="SHA-512" hashValue="4b+dcMM1gml6SLaaDfscxn0uAiZ+rwEYPQ0oNrANypriyPD3B7P4kDKsP6lee16qjSeo83gVIZWH8otnXTGU0A==" saltValue="OO/ScgFNptOyb/I6BfyemQ==" spinCount="100000" sheet="1" objects="1" scenarios="1"/>
  <mergeCells count="2">
    <mergeCell ref="A2:F3"/>
    <mergeCell ref="A5:F6"/>
  </mergeCells>
  <conditionalFormatting sqref="F9:F18">
    <cfRule type="cellIs" dxfId="2" priority="1" operator="equal">
      <formula>"Correcto"</formula>
    </cfRule>
    <cfRule type="cellIs" dxfId="1" priority="2" operator="equal">
      <formula>"Incorrecto"</formula>
    </cfRule>
    <cfRule type="cellIs" dxfId="0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Registro_Ventas</vt:lpstr>
      <vt:lpstr>Referencias</vt:lpstr>
      <vt:lpstr>Analisis</vt:lpstr>
      <vt:lpstr>Preguntas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2026-06-30T07:55:11Z</dcterms:created>
  <dcterms:modified xsi:type="dcterms:W3CDTF">2026-07-03T21:40:18Z</dcterms:modified>
  <cp:category/>
</cp:coreProperties>
</file>