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7A6A772-56DD-48C1-B7D0-008343CA07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rtada" sheetId="1" r:id="rId1"/>
    <sheet name="Datos_Voluntarios" sheetId="2" r:id="rId2"/>
    <sheet name="Referencias" sheetId="3" r:id="rId3"/>
    <sheet name="Pregunt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F16" i="4" l="1"/>
  <c r="F18" i="4"/>
  <c r="F11" i="4"/>
  <c r="F10" i="4"/>
  <c r="F15" i="4"/>
  <c r="F14" i="4"/>
  <c r="F9" i="4"/>
  <c r="F12" i="4" l="1"/>
  <c r="F13" i="4" l="1"/>
  <c r="C20" i="1" s="1"/>
  <c r="C21" i="1" s="1"/>
</calcChain>
</file>

<file path=xl/sharedStrings.xml><?xml version="1.0" encoding="utf-8"?>
<sst xmlns="http://schemas.openxmlformats.org/spreadsheetml/2006/main" count="141" uniqueCount="140">
  <si>
    <t>BEATWAVE MUSIC FESTIVAL</t>
  </si>
  <si>
    <t>Misión 4: Edad y Registro de Voluntarios (Nivel Intermedio - Clase)</t>
  </si>
  <si>
    <t>HISTORIA Y LORE</t>
  </si>
  <si>
    <t>¡Felicidades! BeatWave ha reunido a un equipo de 25 voluntarios entusiastas.</t>
  </si>
  <si>
    <t>Como Coordinador de Staff, tu tarea es determinar la edad exacta de cada voluntario</t>
  </si>
  <si>
    <t>al inicio del festival, asignarles su área según su rango de edad y calcular los apoyos</t>
  </si>
  <si>
    <t>económicos asignados. ¡Estructura este equipo y consolida los viáticos!</t>
  </si>
  <si>
    <t>REGLAS DEL RETO</t>
  </si>
  <si>
    <t>1. Resuelve las preguntas en la hoja 'Preguntas' ingresando fórmulas en la columna amarilla.</t>
  </si>
  <si>
    <t>2. Completa primero las columnas calculadas en la pestaña 'Datos_Voluntarios'.</t>
  </si>
  <si>
    <t>3. Usa referencias absolutas a la hoja 'Referencias' en lugar de números fijos.</t>
  </si>
  <si>
    <t>TABLERO DE PUNTOS</t>
  </si>
  <si>
    <t>Concepto</t>
  </si>
  <si>
    <t>Valor / Resultado</t>
  </si>
  <si>
    <t>Puntos Máximos del Reto</t>
  </si>
  <si>
    <t>Puntos Obtenidos</t>
  </si>
  <si>
    <t>Estado del Reto</t>
  </si>
  <si>
    <t>REGISTRO DE VOLUNTARIOS Y ASIGNACIÓN DE VIÁTICOS</t>
  </si>
  <si>
    <t>ID Voluntario</t>
  </si>
  <si>
    <t>Nombre Completo</t>
  </si>
  <si>
    <t>Fecha Nacimiento</t>
  </si>
  <si>
    <t>Edad (Años)</t>
  </si>
  <si>
    <t>Área Asignada</t>
  </si>
  <si>
    <t>Apoyo Diario (Bs.)</t>
  </si>
  <si>
    <t>Apoyo Total (Bs.)</t>
  </si>
  <si>
    <t>BW-VOL-201</t>
  </si>
  <si>
    <t>BW-VOL-202</t>
  </si>
  <si>
    <t>BW-VOL-203</t>
  </si>
  <si>
    <t>BW-VOL-204</t>
  </si>
  <si>
    <t>BW-VOL-205</t>
  </si>
  <si>
    <t>BW-VOL-206</t>
  </si>
  <si>
    <t>BW-VOL-207</t>
  </si>
  <si>
    <t>BW-VOL-208</t>
  </si>
  <si>
    <t>BW-VOL-209</t>
  </si>
  <si>
    <t>BW-VOL-210</t>
  </si>
  <si>
    <t>BW-VOL-211</t>
  </si>
  <si>
    <t>BW-VOL-212</t>
  </si>
  <si>
    <t>BW-VOL-213</t>
  </si>
  <si>
    <t>BW-VOL-214</t>
  </si>
  <si>
    <t>BW-VOL-215</t>
  </si>
  <si>
    <t>BW-VOL-216</t>
  </si>
  <si>
    <t>BW-VOL-217</t>
  </si>
  <si>
    <t>BW-VOL-218</t>
  </si>
  <si>
    <t>BW-VOL-219</t>
  </si>
  <si>
    <t>BW-VOL-220</t>
  </si>
  <si>
    <t>BW-VOL-221</t>
  </si>
  <si>
    <t>BW-VOL-222</t>
  </si>
  <si>
    <t>BW-VOL-223</t>
  </si>
  <si>
    <t>BW-VOL-224</t>
  </si>
  <si>
    <t>BW-VOL-225</t>
  </si>
  <si>
    <t>PARÁMETROS Y APOYOS ECONÓMICOS</t>
  </si>
  <si>
    <t>Parámetro / Área</t>
  </si>
  <si>
    <t>Valor</t>
  </si>
  <si>
    <t>Fecha Inicio del Festival</t>
  </si>
  <si>
    <t>Duración del Festival (Días)</t>
  </si>
  <si>
    <t>Tipo de Cambio (BOB/USD)</t>
  </si>
  <si>
    <t>TABLA DE APOYO DIARIO POR ÁREA</t>
  </si>
  <si>
    <t>Área de Asignación</t>
  </si>
  <si>
    <t>Acceso y Registro</t>
  </si>
  <si>
    <t>Logística de Escenarios</t>
  </si>
  <si>
    <t>Seguridad y Protocolo</t>
  </si>
  <si>
    <t>PANEL DE PREGUNTAS Y VALIDACIÓN (NIVEL INTERMEDIO)</t>
  </si>
  <si>
    <t>Instrucciones: Completa primero las columnas calculadas en 'Datos_Voluntarios' usando DATEDIF, IF y XLOOKUP. Resuelve las preguntas ingresando fórmulas en la columna amarilla (Tu Respuesta). El validador verificará dinámicamente.</t>
  </si>
  <si>
    <t>#</t>
  </si>
  <si>
    <t>Descripción del Reto</t>
  </si>
  <si>
    <t>Puntos</t>
  </si>
  <si>
    <t>Tu Respuesta</t>
  </si>
  <si>
    <t>Pista</t>
  </si>
  <si>
    <t>Estado</t>
  </si>
  <si>
    <t>¿Cuál es la edad promedio (en años completos) de los voluntarios registrados?</t>
  </si>
  <si>
    <t>¿Cuántos voluntarios son menores de edad (edad inferior a 18 años) al inicio del festival?</t>
  </si>
  <si>
    <t>5</t>
  </si>
  <si>
    <t>¿Cuántos voluntarios fueron asignados al área de "Seguridad y Protocolo"?</t>
  </si>
  <si>
    <t>9</t>
  </si>
  <si>
    <t>¿Cuál es el costo total del apoyo diario para todo el staff durante un día del festival?</t>
  </si>
  <si>
    <t>¿Cuál es el costo total acumulado del apoyo destinado a todos los voluntarios por los 3 días del festival?</t>
  </si>
  <si>
    <t>¿Cuál es la edad del voluntario de mayor edad en el grupo?</t>
  </si>
  <si>
    <t>¿Cuál es el ID del voluntario más joven del grupo (el primero que aparece en la tabla)?</t>
  </si>
  <si>
    <t>¿Cuál es la suma del apoyo total de 3 días destinado únicamente a los voluntarios del área "Logística de Escenarios"?</t>
  </si>
  <si>
    <t>¿Cuál es la fecha de nacimiento de la voluntaria con el ID "BW-VOL-214"?</t>
  </si>
  <si>
    <t>¿Cuál es el costo total del apoyo de 3 días para el área "Seguridad y Protocolo" expresado en Dólares (USD)?</t>
  </si>
  <si>
    <t>23,xx</t>
  </si>
  <si>
    <t>Bs. 3.0xx,xx</t>
  </si>
  <si>
    <t>Bs. 9.2xx,00</t>
  </si>
  <si>
    <t>3x</t>
  </si>
  <si>
    <t>BW-VOL-2xx</t>
  </si>
  <si>
    <t>Bs. 3.9xx,00</t>
  </si>
  <si>
    <t>2007-03-xx</t>
  </si>
  <si>
    <t>$4xx,04</t>
  </si>
  <si>
    <t>Alejandro</t>
  </si>
  <si>
    <t>Silva</t>
  </si>
  <si>
    <t>Sofia</t>
  </si>
  <si>
    <t>Mendez</t>
  </si>
  <si>
    <t>Carlos</t>
  </si>
  <si>
    <t>Rojas</t>
  </si>
  <si>
    <t>Lucía</t>
  </si>
  <si>
    <t>Delgado</t>
  </si>
  <si>
    <t>Mateo</t>
  </si>
  <si>
    <t>Ortiz</t>
  </si>
  <si>
    <t>Camila</t>
  </si>
  <si>
    <t>Vaca</t>
  </si>
  <si>
    <t>Diego</t>
  </si>
  <si>
    <t>Justiniano</t>
  </si>
  <si>
    <t>Valentina</t>
  </si>
  <si>
    <t>Sosa</t>
  </si>
  <si>
    <t>Lucas</t>
  </si>
  <si>
    <t>Guzmán</t>
  </si>
  <si>
    <t>Mariana</t>
  </si>
  <si>
    <t>Prada</t>
  </si>
  <si>
    <t>Nicolás</t>
  </si>
  <si>
    <t>Banegas</t>
  </si>
  <si>
    <t>Isabella</t>
  </si>
  <si>
    <t>Suarez</t>
  </si>
  <si>
    <t>Sebastián</t>
  </si>
  <si>
    <t>Mercado</t>
  </si>
  <si>
    <t>Gabriela</t>
  </si>
  <si>
    <t>Flores</t>
  </si>
  <si>
    <t>Samuel</t>
  </si>
  <si>
    <t>Quiroga</t>
  </si>
  <si>
    <t>Natalia</t>
  </si>
  <si>
    <t>Salvatierra</t>
  </si>
  <si>
    <t>Santiago</t>
  </si>
  <si>
    <t>Vargas</t>
  </si>
  <si>
    <t>Fernanda</t>
  </si>
  <si>
    <t>Castedo</t>
  </si>
  <si>
    <t>Bruno</t>
  </si>
  <si>
    <t>Ribera</t>
  </si>
  <si>
    <t>Paula</t>
  </si>
  <si>
    <t>Hurtado</t>
  </si>
  <si>
    <t>Joaquín</t>
  </si>
  <si>
    <t>Aguilera</t>
  </si>
  <si>
    <t>Daniela</t>
  </si>
  <si>
    <t>Antelo</t>
  </si>
  <si>
    <t>Matías</t>
  </si>
  <si>
    <t>Peña</t>
  </si>
  <si>
    <t>Flavia</t>
  </si>
  <si>
    <t>Terrazas</t>
  </si>
  <si>
    <t>Leonardo</t>
  </si>
  <si>
    <t>Chávez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</si>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</sst>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Bs. &quot;#,##0.00"/>
    <numFmt numFmtId="166" formatCode="\$#,##0.00"/>
  </numFmts>
  <fonts count="14">
    <font>
      <sz val="11"/>
      <color theme="1"/>
      <name val="Calibri"/>
      <family val="2"/>
      <scheme val="minor"/>
    </font>
    <font>
      <b/>
      <sz val="18"/>
      <color rgb="FFFFFFFF"/>
      <name val="Segoe UI"/>
    </font>
    <font>
      <b/>
      <i/>
      <sz val="12"/>
      <color rgb="FF595959"/>
      <name val="Segoe UI"/>
    </font>
    <font>
      <b/>
      <sz val="11"/>
      <color rgb="FF1F4E78"/>
      <name val="Segoe UI"/>
    </font>
    <font>
      <sz val="10"/>
      <name val="Segoe UI"/>
    </font>
    <font>
      <b/>
      <sz val="12"/>
      <name val="Segoe UI"/>
    </font>
    <font>
      <b/>
      <sz val="10"/>
      <color rgb="FFFFFFFF"/>
      <name val="Segoe UI"/>
    </font>
    <font>
      <b/>
      <sz val="10"/>
      <name val="Segoe UI"/>
    </font>
    <font>
      <b/>
      <sz val="14"/>
      <color rgb="FFFFFFFF"/>
      <name val="Segoe UI"/>
    </font>
    <font>
      <b/>
      <sz val="12"/>
      <color rgb="FFFFFFFF"/>
      <name val="Segoe UI"/>
    </font>
    <font>
      <b/>
      <sz val="11"/>
      <name val="Segoe UI"/>
    </font>
    <font>
      <i/>
      <sz val="9"/>
      <name val="Segoe UI"/>
    </font>
    <font>
      <sz val="9.5"/>
      <name val="Segoe UI"/>
    </font>
    <font>
      <i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1" xfId="0" applyFont="1" applyBorder="1"/>
    <xf numFmtId="3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10" fillId="0" borderId="0" xfId="0" applyFont="1"/>
    <xf numFmtId="165" fontId="7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49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3" fontId="4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3">
    <dxf>
      <font>
        <b/>
        <color rgb="FF7F7F7F"/>
      </font>
      <fill>
        <patternFill patternType="solid">
          <fgColor rgb="FFFFF2CC"/>
          <bgColor rgb="FFFFF2CC"/>
        </patternFill>
      </fill>
    </dxf>
    <dxf>
      <font>
        <b/>
        <color rgb="FFC65911"/>
      </font>
      <fill>
        <patternFill patternType="solid">
          <fgColor rgb="FFFCE4D6"/>
          <bgColor rgb="FFFCE4D6"/>
        </patternFill>
      </fill>
    </dxf>
    <dxf>
      <font>
        <b/>
        <color rgb="FF375623"/>
      </font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abSelected="1" topLeftCell="A6" workbookViewId="0"/>
  </sheetViews>
  <sheetFormatPr baseColWidth="10" defaultColWidth="9.140625" defaultRowHeight="15"/>
  <cols>
    <col min="1" max="1" width="4" customWidth="1"/>
    <col min="2" max="2" width="28" customWidth="1"/>
    <col min="3" max="3" width="50" customWidth="1"/>
  </cols>
  <sheetData>
    <row r="2" spans="2:3">
      <c r="B2" s="33" t="s">
        <v>0</v>
      </c>
      <c r="C2" s="33"/>
    </row>
    <row r="3" spans="2:3">
      <c r="B3" s="33"/>
      <c r="C3" s="33"/>
    </row>
    <row r="4" spans="2:3" ht="17.25">
      <c r="B4" s="1" t="s">
        <v>1</v>
      </c>
    </row>
    <row r="6" spans="2:3" ht="16.5">
      <c r="B6" s="2" t="s">
        <v>2</v>
      </c>
    </row>
    <row r="7" spans="2:3">
      <c r="B7" s="3" t="s">
        <v>3</v>
      </c>
    </row>
    <row r="8" spans="2:3">
      <c r="B8" s="3" t="s">
        <v>4</v>
      </c>
    </row>
    <row r="9" spans="2:3">
      <c r="B9" s="3" t="s">
        <v>5</v>
      </c>
    </row>
    <row r="10" spans="2:3">
      <c r="B10" s="3" t="s">
        <v>6</v>
      </c>
    </row>
    <row r="12" spans="2:3" ht="16.5">
      <c r="B12" s="2" t="s">
        <v>7</v>
      </c>
    </row>
    <row r="13" spans="2:3">
      <c r="B13" s="3" t="s">
        <v>8</v>
      </c>
    </row>
    <row r="14" spans="2:3">
      <c r="B14" s="3" t="s">
        <v>9</v>
      </c>
    </row>
    <row r="15" spans="2:3">
      <c r="B15" s="3" t="s">
        <v>10</v>
      </c>
    </row>
    <row r="17" spans="2:3" ht="17.25">
      <c r="B17" s="4" t="s">
        <v>11</v>
      </c>
    </row>
    <row r="18" spans="2:3">
      <c r="B18" s="5" t="s">
        <v>12</v>
      </c>
      <c r="C18" s="5" t="s">
        <v>13</v>
      </c>
    </row>
    <row r="19" spans="2:3">
      <c r="B19" s="6" t="s">
        <v>14</v>
      </c>
      <c r="C19" s="7">
        <v>1000</v>
      </c>
    </row>
    <row r="20" spans="2:3">
      <c r="B20" s="6" t="s">
        <v>15</v>
      </c>
      <c r="C20" s="7">
        <f>SUMIF(Preguntas!F9:F18, "Correcto", Preguntas!C9:C18)</f>
        <v>0</v>
      </c>
    </row>
    <row r="21" spans="2:3">
      <c r="B21" s="6" t="s">
        <v>16</v>
      </c>
      <c r="C21" s="8" t="str">
        <f>IF(C20=1000, "COMPLETADO", IF(C20&gt;=700, "APROBADO", "EN PROGRESO"))</f>
        <v>EN PROGRESO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0"/>
  <sheetViews>
    <sheetView workbookViewId="0">
      <selection activeCell="G14" sqref="G14"/>
    </sheetView>
  </sheetViews>
  <sheetFormatPr baseColWidth="10" defaultColWidth="9.140625" defaultRowHeight="15"/>
  <cols>
    <col min="1" max="1" width="16" customWidth="1"/>
    <col min="2" max="3" width="24" customWidth="1"/>
    <col min="4" max="4" width="18" customWidth="1"/>
    <col min="5" max="5" width="15" customWidth="1"/>
    <col min="6" max="6" width="24" customWidth="1"/>
    <col min="7" max="8" width="20" customWidth="1"/>
  </cols>
  <sheetData>
    <row r="2" spans="1:8">
      <c r="A2" s="34" t="s">
        <v>17</v>
      </c>
      <c r="B2" s="34"/>
      <c r="C2" s="34"/>
      <c r="D2" s="34"/>
      <c r="E2" s="34"/>
      <c r="F2" s="34"/>
      <c r="G2" s="34"/>
      <c r="H2" s="34"/>
    </row>
    <row r="3" spans="1:8">
      <c r="A3" s="34"/>
      <c r="B3" s="34"/>
      <c r="C3" s="34"/>
      <c r="D3" s="34"/>
      <c r="E3" s="34"/>
      <c r="F3" s="34"/>
      <c r="G3" s="34"/>
      <c r="H3" s="34"/>
    </row>
    <row r="5" spans="1:8" ht="27.95" customHeight="1">
      <c r="A5" s="9" t="s">
        <v>18</v>
      </c>
      <c r="B5" s="9" t="s">
        <v>19</v>
      </c>
      <c r="C5" s="9" t="s">
        <v>139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</row>
    <row r="6" spans="1:8">
      <c r="A6" s="10" t="s">
        <v>25</v>
      </c>
      <c r="B6" s="11" t="s">
        <v>89</v>
      </c>
      <c r="C6" s="11" t="s">
        <v>90</v>
      </c>
      <c r="D6" s="12">
        <v>39915.166666666664</v>
      </c>
      <c r="E6" s="37"/>
      <c r="F6" s="38"/>
      <c r="G6" s="39"/>
      <c r="H6" s="39"/>
    </row>
    <row r="7" spans="1:8">
      <c r="A7" s="13" t="s">
        <v>26</v>
      </c>
      <c r="B7" s="14" t="s">
        <v>91</v>
      </c>
      <c r="C7" s="14" t="s">
        <v>92</v>
      </c>
      <c r="D7" s="15">
        <v>38617.166666666664</v>
      </c>
      <c r="E7" s="37"/>
      <c r="F7" s="38"/>
      <c r="G7" s="39"/>
      <c r="H7" s="39"/>
    </row>
    <row r="8" spans="1:8">
      <c r="A8" s="10" t="s">
        <v>27</v>
      </c>
      <c r="B8" s="11" t="s">
        <v>93</v>
      </c>
      <c r="C8" s="11" t="s">
        <v>94</v>
      </c>
      <c r="D8" s="12">
        <v>34833.166666666664</v>
      </c>
      <c r="E8" s="37"/>
      <c r="F8" s="38"/>
      <c r="G8" s="39"/>
      <c r="H8" s="39"/>
    </row>
    <row r="9" spans="1:8">
      <c r="A9" s="13" t="s">
        <v>28</v>
      </c>
      <c r="B9" s="14" t="s">
        <v>95</v>
      </c>
      <c r="C9" s="14" t="s">
        <v>96</v>
      </c>
      <c r="D9" s="15">
        <v>39787.166666666664</v>
      </c>
      <c r="E9" s="37"/>
      <c r="F9" s="38"/>
      <c r="G9" s="39"/>
      <c r="H9" s="39"/>
    </row>
    <row r="10" spans="1:8">
      <c r="A10" s="10" t="s">
        <v>29</v>
      </c>
      <c r="B10" s="11" t="s">
        <v>97</v>
      </c>
      <c r="C10" s="11" t="s">
        <v>98</v>
      </c>
      <c r="D10" s="12">
        <v>37122.166666666664</v>
      </c>
      <c r="E10" s="37"/>
      <c r="F10" s="38"/>
      <c r="G10" s="39"/>
      <c r="H10" s="39"/>
    </row>
    <row r="11" spans="1:8">
      <c r="A11" s="13" t="s">
        <v>30</v>
      </c>
      <c r="B11" s="14" t="s">
        <v>99</v>
      </c>
      <c r="C11" s="14" t="s">
        <v>100</v>
      </c>
      <c r="D11" s="15">
        <v>37955.166666666664</v>
      </c>
      <c r="E11" s="37"/>
      <c r="F11" s="38"/>
      <c r="G11" s="39"/>
      <c r="H11" s="39"/>
    </row>
    <row r="12" spans="1:8">
      <c r="A12" s="10" t="s">
        <v>31</v>
      </c>
      <c r="B12" s="11" t="s">
        <v>101</v>
      </c>
      <c r="C12" s="11" t="s">
        <v>102</v>
      </c>
      <c r="D12" s="12">
        <v>35841.166666666664</v>
      </c>
      <c r="E12" s="37"/>
      <c r="F12" s="38"/>
      <c r="G12" s="39"/>
      <c r="H12" s="39"/>
    </row>
    <row r="13" spans="1:8">
      <c r="A13" s="13" t="s">
        <v>32</v>
      </c>
      <c r="B13" s="14" t="s">
        <v>103</v>
      </c>
      <c r="C13" s="14" t="s">
        <v>104</v>
      </c>
      <c r="D13" s="15">
        <v>40087.166666666664</v>
      </c>
      <c r="E13" s="37"/>
      <c r="F13" s="38"/>
      <c r="G13" s="39"/>
      <c r="H13" s="39"/>
    </row>
    <row r="14" spans="1:8">
      <c r="A14" s="10" t="s">
        <v>33</v>
      </c>
      <c r="B14" s="11" t="s">
        <v>105</v>
      </c>
      <c r="C14" s="11" t="s">
        <v>106</v>
      </c>
      <c r="D14" s="12">
        <v>38087.166666666664</v>
      </c>
      <c r="E14" s="37"/>
      <c r="F14" s="38"/>
      <c r="G14" s="39"/>
      <c r="H14" s="39"/>
    </row>
    <row r="15" spans="1:8">
      <c r="A15" s="13" t="s">
        <v>34</v>
      </c>
      <c r="B15" s="14" t="s">
        <v>107</v>
      </c>
      <c r="C15" s="14" t="s">
        <v>108</v>
      </c>
      <c r="D15" s="15">
        <v>33810.166666666664</v>
      </c>
      <c r="E15" s="37"/>
      <c r="F15" s="38"/>
      <c r="G15" s="39"/>
      <c r="H15" s="39"/>
    </row>
    <row r="16" spans="1:8">
      <c r="A16" s="10" t="s">
        <v>35</v>
      </c>
      <c r="B16" s="11" t="s">
        <v>109</v>
      </c>
      <c r="C16" s="11" t="s">
        <v>110</v>
      </c>
      <c r="D16" s="12">
        <v>38731.166666666664</v>
      </c>
      <c r="E16" s="37"/>
      <c r="F16" s="38"/>
      <c r="G16" s="39"/>
      <c r="H16" s="39"/>
    </row>
    <row r="17" spans="1:8">
      <c r="A17" s="13" t="s">
        <v>36</v>
      </c>
      <c r="B17" s="14" t="s">
        <v>111</v>
      </c>
      <c r="C17" s="14" t="s">
        <v>112</v>
      </c>
      <c r="D17" s="15">
        <v>39586.166666666664</v>
      </c>
      <c r="E17" s="37"/>
      <c r="F17" s="38"/>
      <c r="G17" s="39"/>
      <c r="H17" s="39"/>
    </row>
    <row r="18" spans="1:8">
      <c r="A18" s="10" t="s">
        <v>37</v>
      </c>
      <c r="B18" s="11" t="s">
        <v>113</v>
      </c>
      <c r="C18" s="11" t="s">
        <v>114</v>
      </c>
      <c r="D18" s="12">
        <v>36861.166666666664</v>
      </c>
      <c r="E18" s="37"/>
      <c r="F18" s="38"/>
      <c r="G18" s="39"/>
      <c r="H18" s="39"/>
    </row>
    <row r="19" spans="1:8">
      <c r="A19" s="13" t="s">
        <v>38</v>
      </c>
      <c r="B19" s="14" t="s">
        <v>115</v>
      </c>
      <c r="C19" s="14" t="s">
        <v>116</v>
      </c>
      <c r="D19" s="15">
        <v>39150.166666666664</v>
      </c>
      <c r="E19" s="37"/>
      <c r="F19" s="38"/>
      <c r="G19" s="39"/>
      <c r="H19" s="39"/>
    </row>
    <row r="20" spans="1:8">
      <c r="A20" s="10" t="s">
        <v>39</v>
      </c>
      <c r="B20" s="11" t="s">
        <v>117</v>
      </c>
      <c r="C20" s="11" t="s">
        <v>118</v>
      </c>
      <c r="D20" s="12">
        <v>34612.166666666664</v>
      </c>
      <c r="E20" s="37"/>
      <c r="F20" s="38"/>
      <c r="G20" s="39"/>
      <c r="H20" s="39"/>
    </row>
    <row r="21" spans="1:8">
      <c r="A21" s="13" t="s">
        <v>40</v>
      </c>
      <c r="B21" s="14" t="s">
        <v>119</v>
      </c>
      <c r="C21" s="14" t="s">
        <v>120</v>
      </c>
      <c r="D21" s="15">
        <v>40039.166666666664</v>
      </c>
      <c r="E21" s="37"/>
      <c r="F21" s="38"/>
      <c r="G21" s="39"/>
      <c r="H21" s="39"/>
    </row>
    <row r="22" spans="1:8">
      <c r="A22" s="10" t="s">
        <v>41</v>
      </c>
      <c r="B22" s="11" t="s">
        <v>121</v>
      </c>
      <c r="C22" s="11" t="s">
        <v>122</v>
      </c>
      <c r="D22" s="12">
        <v>37437.166666666664</v>
      </c>
      <c r="E22" s="37"/>
      <c r="F22" s="38"/>
      <c r="G22" s="39"/>
      <c r="H22" s="39"/>
    </row>
    <row r="23" spans="1:8">
      <c r="A23" s="13" t="s">
        <v>42</v>
      </c>
      <c r="B23" s="14" t="s">
        <v>123</v>
      </c>
      <c r="C23" s="14" t="s">
        <v>124</v>
      </c>
      <c r="D23" s="15">
        <v>35501.166666666664</v>
      </c>
      <c r="E23" s="37"/>
      <c r="F23" s="38"/>
      <c r="G23" s="39"/>
      <c r="H23" s="39"/>
    </row>
    <row r="24" spans="1:8">
      <c r="A24" s="10" t="s">
        <v>43</v>
      </c>
      <c r="B24" s="11" t="s">
        <v>125</v>
      </c>
      <c r="C24" s="11" t="s">
        <v>126</v>
      </c>
      <c r="D24" s="12">
        <v>39772.166666666664</v>
      </c>
      <c r="E24" s="37"/>
      <c r="F24" s="38"/>
      <c r="G24" s="39"/>
      <c r="H24" s="39"/>
    </row>
    <row r="25" spans="1:8">
      <c r="A25" s="13" t="s">
        <v>44</v>
      </c>
      <c r="B25" s="14" t="s">
        <v>127</v>
      </c>
      <c r="C25" s="14" t="s">
        <v>128</v>
      </c>
      <c r="D25" s="15">
        <v>38367.166666666664</v>
      </c>
      <c r="E25" s="37"/>
      <c r="F25" s="38"/>
      <c r="G25" s="39"/>
      <c r="H25" s="39"/>
    </row>
    <row r="26" spans="1:8">
      <c r="A26" s="10" t="s">
        <v>45</v>
      </c>
      <c r="B26" s="11" t="s">
        <v>129</v>
      </c>
      <c r="C26" s="11" t="s">
        <v>130</v>
      </c>
      <c r="D26" s="12">
        <v>33552.166666666664</v>
      </c>
      <c r="E26" s="37"/>
      <c r="F26" s="38"/>
      <c r="G26" s="39"/>
      <c r="H26" s="39"/>
    </row>
    <row r="27" spans="1:8">
      <c r="A27" s="13" t="s">
        <v>46</v>
      </c>
      <c r="B27" s="14" t="s">
        <v>131</v>
      </c>
      <c r="C27" s="14" t="s">
        <v>132</v>
      </c>
      <c r="D27" s="15">
        <v>38906.166666666664</v>
      </c>
      <c r="E27" s="37"/>
      <c r="F27" s="38"/>
      <c r="G27" s="39"/>
      <c r="H27" s="39"/>
    </row>
    <row r="28" spans="1:8">
      <c r="A28" s="10" t="s">
        <v>47</v>
      </c>
      <c r="B28" s="11" t="s">
        <v>133</v>
      </c>
      <c r="C28" s="11" t="s">
        <v>134</v>
      </c>
      <c r="D28" s="12">
        <v>36406.166666666664</v>
      </c>
      <c r="E28" s="37"/>
      <c r="F28" s="38"/>
      <c r="G28" s="39"/>
      <c r="H28" s="39"/>
    </row>
    <row r="29" spans="1:8">
      <c r="A29" s="13" t="s">
        <v>48</v>
      </c>
      <c r="B29" s="14" t="s">
        <v>135</v>
      </c>
      <c r="C29" s="14" t="s">
        <v>136</v>
      </c>
      <c r="D29" s="15">
        <v>39762.166666666664</v>
      </c>
      <c r="E29" s="37"/>
      <c r="F29" s="38"/>
      <c r="G29" s="39"/>
      <c r="H29" s="39"/>
    </row>
    <row r="30" spans="1:8">
      <c r="A30" s="10" t="s">
        <v>49</v>
      </c>
      <c r="B30" s="11" t="s">
        <v>137</v>
      </c>
      <c r="C30" s="11" t="s">
        <v>138</v>
      </c>
      <c r="D30" s="12">
        <v>38349.166666666664</v>
      </c>
      <c r="E30" s="37"/>
      <c r="F30" s="38"/>
      <c r="G30" s="39"/>
      <c r="H30" s="39"/>
    </row>
  </sheetData>
  <mergeCells count="1">
    <mergeCell ref="A2:H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5"/>
  <sheetViews>
    <sheetView workbookViewId="0">
      <selection activeCell="C6" sqref="C6"/>
    </sheetView>
  </sheetViews>
  <sheetFormatPr baseColWidth="10" defaultColWidth="9.140625" defaultRowHeight="15"/>
  <cols>
    <col min="1" max="1" width="4" customWidth="1"/>
    <col min="2" max="2" width="38" customWidth="1"/>
    <col min="3" max="3" width="18" customWidth="1"/>
  </cols>
  <sheetData>
    <row r="2" spans="2:3">
      <c r="B2" s="35" t="s">
        <v>50</v>
      </c>
      <c r="C2" s="35"/>
    </row>
    <row r="3" spans="2:3">
      <c r="B3" s="35"/>
      <c r="C3" s="35"/>
    </row>
    <row r="5" spans="2:3">
      <c r="B5" s="5" t="s">
        <v>51</v>
      </c>
      <c r="C5" s="16" t="s">
        <v>52</v>
      </c>
    </row>
    <row r="6" spans="2:3">
      <c r="B6" s="11" t="s">
        <v>53</v>
      </c>
      <c r="C6" s="17">
        <v>46339.166666666672</v>
      </c>
    </row>
    <row r="7" spans="2:3">
      <c r="B7" s="11" t="s">
        <v>54</v>
      </c>
      <c r="C7" s="18">
        <v>3</v>
      </c>
    </row>
    <row r="8" spans="2:3">
      <c r="B8" s="11" t="s">
        <v>55</v>
      </c>
      <c r="C8" s="19">
        <v>9.9499999999999993</v>
      </c>
    </row>
    <row r="11" spans="2:3" ht="16.5">
      <c r="B11" s="20" t="s">
        <v>56</v>
      </c>
    </row>
    <row r="12" spans="2:3">
      <c r="B12" s="5" t="s">
        <v>57</v>
      </c>
      <c r="C12" s="5" t="s">
        <v>23</v>
      </c>
    </row>
    <row r="13" spans="2:3">
      <c r="B13" s="11" t="s">
        <v>58</v>
      </c>
      <c r="C13" s="21">
        <v>80</v>
      </c>
    </row>
    <row r="14" spans="2:3">
      <c r="B14" s="11" t="s">
        <v>59</v>
      </c>
      <c r="C14" s="21">
        <v>120</v>
      </c>
    </row>
    <row r="15" spans="2:3">
      <c r="B15" s="11" t="s">
        <v>60</v>
      </c>
      <c r="C15" s="21">
        <v>150</v>
      </c>
    </row>
  </sheetData>
  <mergeCells count="1">
    <mergeCell ref="B2:C3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8"/>
  <sheetViews>
    <sheetView topLeftCell="A7" workbookViewId="0">
      <selection activeCell="D9" sqref="D9:D13"/>
    </sheetView>
  </sheetViews>
  <sheetFormatPr baseColWidth="10" defaultColWidth="9.140625" defaultRowHeight="15"/>
  <cols>
    <col min="1" max="1" width="6" customWidth="1"/>
    <col min="2" max="2" width="75" customWidth="1"/>
    <col min="3" max="3" width="8" customWidth="1"/>
    <col min="4" max="4" width="20" customWidth="1"/>
    <col min="5" max="5" width="16" customWidth="1"/>
    <col min="6" max="6" width="14" customWidth="1"/>
  </cols>
  <sheetData>
    <row r="2" spans="1:6">
      <c r="A2" s="34" t="s">
        <v>61</v>
      </c>
      <c r="B2" s="34"/>
      <c r="C2" s="34"/>
      <c r="D2" s="34"/>
      <c r="E2" s="34"/>
      <c r="F2" s="34"/>
    </row>
    <row r="3" spans="1:6">
      <c r="A3" s="34"/>
      <c r="B3" s="34"/>
      <c r="C3" s="34"/>
      <c r="D3" s="34"/>
      <c r="E3" s="34"/>
      <c r="F3" s="34"/>
    </row>
    <row r="5" spans="1:6">
      <c r="A5" s="36" t="s">
        <v>62</v>
      </c>
      <c r="B5" s="36"/>
      <c r="C5" s="36"/>
      <c r="D5" s="36"/>
      <c r="E5" s="36"/>
      <c r="F5" s="36"/>
    </row>
    <row r="6" spans="1:6">
      <c r="A6" s="36"/>
      <c r="B6" s="36"/>
      <c r="C6" s="36"/>
      <c r="D6" s="36"/>
      <c r="E6" s="36"/>
      <c r="F6" s="36"/>
    </row>
    <row r="8" spans="1:6" ht="24" customHeight="1">
      <c r="A8" s="22" t="s">
        <v>63</v>
      </c>
      <c r="B8" s="22" t="s">
        <v>64</v>
      </c>
      <c r="C8" s="22" t="s">
        <v>65</v>
      </c>
      <c r="D8" s="22" t="s">
        <v>66</v>
      </c>
      <c r="E8" s="22" t="s">
        <v>67</v>
      </c>
      <c r="F8" s="22" t="s">
        <v>68</v>
      </c>
    </row>
    <row r="9" spans="1:6" ht="27.95" customHeight="1">
      <c r="A9" s="23">
        <v>1</v>
      </c>
      <c r="B9" s="24" t="s">
        <v>69</v>
      </c>
      <c r="C9" s="25">
        <v>50</v>
      </c>
      <c r="D9" s="26"/>
      <c r="E9" s="27" t="s">
        <v>81</v>
      </c>
      <c r="F9" s="25" t="str">
        <f>IF(ISBLANK(D9), "Pendiente", IF(ROUND(D9,2)=23.08, "Correcto", "Incorrecto"))</f>
        <v>Pendiente</v>
      </c>
    </row>
    <row r="10" spans="1:6" ht="27.95" customHeight="1">
      <c r="A10" s="23">
        <v>2</v>
      </c>
      <c r="B10" s="24" t="s">
        <v>70</v>
      </c>
      <c r="C10" s="25">
        <v>50</v>
      </c>
      <c r="D10" s="28"/>
      <c r="E10" s="27" t="s">
        <v>71</v>
      </c>
      <c r="F10" s="25" t="str">
        <f>IF(ISBLANK(D10), "Pendiente", IF(D10=5, "Correcto", "Incorrecto"))</f>
        <v>Pendiente</v>
      </c>
    </row>
    <row r="11" spans="1:6" ht="27.95" customHeight="1">
      <c r="A11" s="23">
        <v>3</v>
      </c>
      <c r="B11" s="24" t="s">
        <v>72</v>
      </c>
      <c r="C11" s="25">
        <v>80</v>
      </c>
      <c r="D11" s="28"/>
      <c r="E11" s="27" t="s">
        <v>73</v>
      </c>
      <c r="F11" s="25" t="str">
        <f>IF(ISBLANK(D11), "Pendiente", IF(D11=9, "Correcto", "Incorrecto"))</f>
        <v>Pendiente</v>
      </c>
    </row>
    <row r="12" spans="1:6" ht="27.95" customHeight="1">
      <c r="A12" s="23">
        <v>4</v>
      </c>
      <c r="B12" s="24" t="s">
        <v>74</v>
      </c>
      <c r="C12" s="25">
        <v>100</v>
      </c>
      <c r="D12" s="29"/>
      <c r="E12" s="27" t="s">
        <v>82</v>
      </c>
      <c r="F12" s="25" t="str">
        <f>IF(ISBLANK(D12), "Pendiente", IF(D12=3070, "Correcto", "Incorrecto"))</f>
        <v>Pendiente</v>
      </c>
    </row>
    <row r="13" spans="1:6" ht="27.95" customHeight="1">
      <c r="A13" s="23">
        <v>5</v>
      </c>
      <c r="B13" s="24" t="s">
        <v>75</v>
      </c>
      <c r="C13" s="25">
        <v>100</v>
      </c>
      <c r="D13" s="29"/>
      <c r="E13" s="27" t="s">
        <v>83</v>
      </c>
      <c r="F13" s="25" t="str">
        <f>IF(ISBLANK(D13), "Pendiente", IF(D13=9210, "Correcto", "Incorrecto"))</f>
        <v>Pendiente</v>
      </c>
    </row>
    <row r="14" spans="1:6" ht="27.95" customHeight="1">
      <c r="A14" s="23">
        <v>6</v>
      </c>
      <c r="B14" s="24" t="s">
        <v>76</v>
      </c>
      <c r="C14" s="25">
        <v>100</v>
      </c>
      <c r="D14" s="28"/>
      <c r="E14" s="27" t="s">
        <v>84</v>
      </c>
      <c r="F14" s="25" t="str">
        <f>IF(ISBLANK(D14), "Pendiente", IF(D14=35, "Correcto", "Incorrecto"))</f>
        <v>Pendiente</v>
      </c>
    </row>
    <row r="15" spans="1:6" ht="27.95" customHeight="1">
      <c r="A15" s="23">
        <v>7</v>
      </c>
      <c r="B15" s="24" t="s">
        <v>77</v>
      </c>
      <c r="C15" s="25">
        <v>120</v>
      </c>
      <c r="D15" s="30"/>
      <c r="E15" s="27" t="s">
        <v>85</v>
      </c>
      <c r="F15" s="25" t="str">
        <f>IF(ISBLANK(D15), "Pendiente", IF(D15="BW-VOL-201", "Correcto", "Incorrecto"))</f>
        <v>Pendiente</v>
      </c>
    </row>
    <row r="16" spans="1:6" ht="27.95" customHeight="1">
      <c r="A16" s="23">
        <v>8</v>
      </c>
      <c r="B16" s="24" t="s">
        <v>78</v>
      </c>
      <c r="C16" s="25">
        <v>120</v>
      </c>
      <c r="D16" s="29"/>
      <c r="E16" s="27" t="s">
        <v>86</v>
      </c>
      <c r="F16" s="25" t="str">
        <f>IF(ISBLANK(D16), "Pendiente", IF(D16=3960, "Correcto", "Incorrecto"))</f>
        <v>Pendiente</v>
      </c>
    </row>
    <row r="17" spans="1:6" ht="27.95" customHeight="1">
      <c r="A17" s="23">
        <v>9</v>
      </c>
      <c r="B17" s="24" t="s">
        <v>79</v>
      </c>
      <c r="C17" s="25">
        <v>130</v>
      </c>
      <c r="D17" s="31"/>
      <c r="E17" s="27" t="s">
        <v>87</v>
      </c>
      <c r="F17" s="25" t="str">
        <f>IF(ISBLANK(D17), "Pendiente", IF(TEXT(D17,"aaaa-mm-dd")="2007-03-09", "Correcto", "Incorrecto"))</f>
        <v>Pendiente</v>
      </c>
    </row>
    <row r="18" spans="1:6" ht="27.95" customHeight="1">
      <c r="A18" s="23">
        <v>10</v>
      </c>
      <c r="B18" s="24" t="s">
        <v>80</v>
      </c>
      <c r="C18" s="25">
        <v>150</v>
      </c>
      <c r="D18" s="32"/>
      <c r="E18" s="27" t="s">
        <v>88</v>
      </c>
      <c r="F18" s="25" t="str">
        <f>IF(ISBLANK(D18), "Pendiente", IF(ROUND(D18,2)=407.04, "Correcto", "Incorrecto"))</f>
        <v>Pendiente</v>
      </c>
    </row>
  </sheetData>
  <mergeCells count="2">
    <mergeCell ref="A2:F3"/>
    <mergeCell ref="A5:F6"/>
  </mergeCells>
  <conditionalFormatting sqref="F9:F18">
    <cfRule type="cellIs" dxfId="2" priority="1" operator="equal">
      <formula>"Correcto"</formula>
    </cfRule>
    <cfRule type="cellIs" dxfId="1" priority="2" operator="equal">
      <formula>"Incorrecto"</formula>
    </cfRule>
    <cfRule type="cellIs" dxfId="0" priority="3" operator="equal">
      <formula>"Pendiente"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Datos_Voluntarios</vt:lpstr>
      <vt:lpstr>Referencias</vt:lpstr>
      <vt:lpstr>Preguntas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2026-06-17T06:31:56Z</dcterms:created>
  <dcterms:modified xsi:type="dcterms:W3CDTF">2026-06-17T22:21:20Z</dcterms:modified>
  <cp:category/>
</cp:coreProperties>
</file>