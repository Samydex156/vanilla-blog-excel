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AB9E67A-ECC5-4E64-B37A-4CBE7C9EC2D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ortada" sheetId="1" r:id="rId1"/>
    <sheet name="Ficha_Empleado" sheetId="2" r:id="rId2"/>
    <sheet name="Base_Personal" sheetId="3" r:id="rId3"/>
    <sheet name="Registro_Asistencia" sheetId="4" r:id="rId4"/>
    <sheet name="Referencias" sheetId="5" r:id="rId5"/>
    <sheet name="Pregun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F9" i="6"/>
  <c r="C23" i="1" s="1"/>
  <c r="C24" i="1" s="1"/>
  <c r="F18" i="6"/>
  <c r="F16" i="6"/>
  <c r="F15" i="6"/>
  <c r="F14" i="6"/>
  <c r="F13" i="6"/>
  <c r="F12" i="6"/>
  <c r="F11" i="6"/>
  <c r="F10" i="6"/>
</calcChain>
</file>

<file path=xl/sharedStrings.xml><?xml version="1.0" encoding="utf-8"?>
<sst xmlns="http://schemas.openxmlformats.org/spreadsheetml/2006/main" count="159" uniqueCount="98">
  <si>
    <t>PIXELWORLD THEME PARK</t>
  </si>
  <si>
    <t>Misión 8: Ficha de Personal y Boleta de Pago Interactiva (Nivel Intermedio - Clase)</t>
  </si>
  <si>
    <t>HISTORIA Y LORE</t>
  </si>
  <si>
    <t>¡Hola, Administrador de Staff! En PixelWorld queremos automatizar el llenado</t>
  </si>
  <si>
    <t>de nuestras boletas de pago para el personal del parque. Contamos con un</t>
  </si>
  <si>
    <t>maestro estático de empleados y un registro diario de asistencia y ventas.</t>
  </si>
  <si>
    <t>Tu tarea es crear un formulario de consulta en la pestaña 'Ficha_Empleado'</t>
  </si>
  <si>
    <t>que extraiga y calcule los montos automáticamente cuando el usuario seleccione</t>
  </si>
  <si>
    <t>un ID_Empleado en la lista desplegable. ¡Haz que el sistema funcione!</t>
  </si>
  <si>
    <t>REGLAS DEL RETO</t>
  </si>
  <si>
    <t>1. Resuelve las preguntas en la hoja 'Preguntas' ingresando fórmulas en la columna amarilla.</t>
  </si>
  <si>
    <t>2. Completa las celdas amarillas del formulario en 'Ficha_Empleado' usando fórmulas.</t>
  </si>
  <si>
    <t>3. Usa referencias absolutas y búsquedas combinadas para cruzar las bases.</t>
  </si>
  <si>
    <t>4. Puedes verificar tus respuestas seleccionando los códigos en tu formulario interactivo.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</si>
  <si>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</si>
  <si>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</si>
  <si>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</si>
  <si>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</si>
  <si>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</si>
  <si>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</si>
  <si>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BOLETA DE PAGO - PIXELWORLD PARK</t>
  </si>
  <si>
    <t>Seleccione ID Empleado:</t>
  </si>
  <si>
    <t>PW-101</t>
  </si>
  <si>
    <t>1. DATOS GENERALES DEL EMPLEADO</t>
  </si>
  <si>
    <t>Nombre Completo:</t>
  </si>
  <si>
    <t>Cargo / Puesto:</t>
  </si>
  <si>
    <t>Sueldo Base Diario:</t>
  </si>
  <si>
    <t>2. DETALLE DE JORNADAS Y ACUMULADOS</t>
  </si>
  <si>
    <t>Días Trabajados:</t>
  </si>
  <si>
    <t>Total Horas Extra:</t>
  </si>
  <si>
    <t>Monto Horas Extra:</t>
  </si>
  <si>
    <t>Total Ventas Registradas:</t>
  </si>
  <si>
    <t>Comisión Ventas Ganada:</t>
  </si>
  <si>
    <t>3. RESUMEN NETO A PAGAR</t>
  </si>
  <si>
    <t>Total Neto a Pagar (Bs.):</t>
  </si>
  <si>
    <t>* Tasa de comisión y tarifa de hora extra indicados en la pestaña Referencias.</t>
  </si>
  <si>
    <t>MAESTRO DE PERSONAL - PIXELWORLD PARK</t>
  </si>
  <si>
    <t>ID Empleado</t>
  </si>
  <si>
    <t>Nombre Completo</t>
  </si>
  <si>
    <t>Cargo</t>
  </si>
  <si>
    <t>Género</t>
  </si>
  <si>
    <t>Fecha Nacimiento</t>
  </si>
  <si>
    <t>Sueldo Diario (Bs.)</t>
  </si>
  <si>
    <t>Sofía Vargas</t>
  </si>
  <si>
    <t>Cajera</t>
  </si>
  <si>
    <t>F</t>
  </si>
  <si>
    <t>PW-102</t>
  </si>
  <si>
    <t>Alejandro Silva</t>
  </si>
  <si>
    <t>Operador Atracción</t>
  </si>
  <si>
    <t>M</t>
  </si>
  <si>
    <t>PW-103</t>
  </si>
  <si>
    <t>Carlos Rojas</t>
  </si>
  <si>
    <t>Seguridad</t>
  </si>
  <si>
    <t>PW-104</t>
  </si>
  <si>
    <t>Lucía Delgado</t>
  </si>
  <si>
    <t>PW-105</t>
  </si>
  <si>
    <t>Mateo Ortiz</t>
  </si>
  <si>
    <t>PW-106</t>
  </si>
  <si>
    <t>Camila Vaca</t>
  </si>
  <si>
    <t>PW-107</t>
  </si>
  <si>
    <t>Diego Justiniano</t>
  </si>
  <si>
    <t>Supervisor Parque</t>
  </si>
  <si>
    <t>REGISTRO DE ASISTENCIA Y JORNADAS EXTRAS</t>
  </si>
  <si>
    <t>Fecha</t>
  </si>
  <si>
    <t>Horas Extra</t>
  </si>
  <si>
    <t>Ventas del Día (Bs.)</t>
  </si>
  <si>
    <t>PARÁMETROS DE CÁLCULO</t>
  </si>
  <si>
    <t>Valor / Tasa</t>
  </si>
  <si>
    <t>Tarifa Hora Extra (Bs.)</t>
  </si>
  <si>
    <t>Tasa Comisión Ventas</t>
  </si>
  <si>
    <t>PANEL DE PREGUNTAS (CONTROL FORMULARIO INTERACTIVO)</t>
  </si>
  <si>
    <t>Instrucciones: Completa las fórmulas del formulario en 'Ficha_Empleado' (celdas amarillas C8:C16 y C18). Resuelve las preguntas ingresando fórmulas de resumen en la columna amarilla (Tu Respuesta), o usa el formulario interactivo para consultar el ID y copia el valor obtenido.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</si>
  <si>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</si>
  <si>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</si>
  <si>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</si>
  <si>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</si>
  <si>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</si>
  <si>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</si>
  <si>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Checksum de Control 1: ¿Cuál es el número total de registros de jornadas en el mes?</t>
  </si>
  <si>
    <t>5x</t>
  </si>
  <si>
    <t>¿Cuál es el sueldo base diario (en Bs.) asignado al empleado con ID 'PW-102'?</t>
  </si>
  <si>
    <t>1xx.0x</t>
  </si>
  <si>
    <t>¿Cuántas jornadas (días trabajados) registró en total la empleada 'PW-104'?</t>
  </si>
  <si>
    <t>7x</t>
  </si>
  <si>
    <t>¿Cuántas horas extra en total acumuló el empleado 'PW-105' en el mes?</t>
  </si>
  <si>
    <t>1x</t>
  </si>
  <si>
    <t>¿A cuánto asciende el pago total de horas extra (en Bs.) liquidado a la cajera 'PW-101'?</t>
  </si>
  <si>
    <t>4xx.0x</t>
  </si>
  <si>
    <t>¿Cuál es la comisión por ventas acumulada (en Bs.) ganada por el empleado 'PW-103'?</t>
  </si>
  <si>
    <t>1xx.5x</t>
  </si>
  <si>
    <t>¿A cuánto asciende el Total Neto a Pagar calculado para la empleada 'PW-106'?</t>
  </si>
  <si>
    <t>19xx.5x</t>
  </si>
  <si>
    <t>Checksum de Control 2: ¿A cuánto asciende el gasto total de nómina del mes (suma de Total Neto de todo el personal)?</t>
  </si>
  <si>
    <t>123xx.0x</t>
  </si>
  <si>
    <t>¿Qué empleado (Nombre) acumuló el mayor volumen de horas extra en todo el mes?</t>
  </si>
  <si>
    <t>Caxxxxxxxxx</t>
  </si>
  <si>
    <t>¿Cuál es el puesto / cargo que desempeña el empleado con ID 'PW-107'?</t>
  </si>
  <si>
    <t>Suxxxxxxxxxxxxxxx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</si>
</sst>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s. &quot;#,##0.00"/>
    <numFmt numFmtId="165" formatCode="yyyy\-mm\-dd"/>
  </numFmts>
  <fonts count="16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b/>
      <i/>
      <sz val="12"/>
      <color rgb="FF595959"/>
      <name val="Segoe UI"/>
    </font>
    <font>
      <b/>
      <sz val="11"/>
      <color rgb="FF1F4E78"/>
      <name val="Segoe UI"/>
    </font>
    <font>
      <sz val="10"/>
      <name val="Segoe UI"/>
    </font>
    <font>
      <b/>
      <sz val="12"/>
      <name val="Segoe UI"/>
    </font>
    <font>
      <b/>
      <sz val="10"/>
      <color rgb="FFFFFFFF"/>
      <name val="Segoe UI"/>
    </font>
    <font>
      <b/>
      <sz val="10"/>
      <name val="Segoe UI"/>
    </font>
    <font>
      <b/>
      <sz val="14"/>
      <color rgb="FFFFFFFF"/>
      <name val="Segoe UI"/>
    </font>
    <font>
      <i/>
      <sz val="8"/>
      <name val="Segoe UI"/>
    </font>
    <font>
      <sz val="9.5"/>
      <name val="Segoe UI"/>
    </font>
    <font>
      <b/>
      <sz val="12"/>
      <color rgb="FFFFFFFF"/>
      <name val="Segoe UI"/>
    </font>
    <font>
      <i/>
      <sz val="9"/>
      <name val="Segoe UI"/>
    </font>
    <font>
      <i/>
      <sz val="9.5"/>
      <name val="Segoe UI"/>
    </font>
    <font>
      <b/>
      <sz val="10"/>
      <name val="Segoe UI"/>
      <family val="2"/>
    </font>
    <font>
      <b/>
      <sz val="18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34495E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2" borderId="1" xfId="0" applyFont="1" applyFill="1" applyBorder="1"/>
    <xf numFmtId="0" fontId="7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165" fontId="10" fillId="5" borderId="1" xfId="0" applyNumberFormat="1" applyFont="1" applyFill="1" applyBorder="1" applyAlignment="1">
      <alignment horizontal="center"/>
    </xf>
    <xf numFmtId="4" fontId="10" fillId="5" borderId="1" xfId="0" applyNumberFormat="1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0" fillId="5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4" fillId="0" borderId="1" xfId="0" applyFont="1" applyBorder="1"/>
    <xf numFmtId="4" fontId="7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3" fontId="7" fillId="3" borderId="1" xfId="0" applyNumberFormat="1" applyFont="1" applyFill="1" applyBorder="1" applyAlignment="1" applyProtection="1">
      <alignment horizontal="right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4" fontId="7" fillId="3" borderId="1" xfId="0" applyNumberFormat="1" applyFont="1" applyFill="1" applyBorder="1" applyAlignment="1" applyProtection="1">
      <alignment horizontal="right" vertical="center"/>
      <protection locked="0"/>
    </xf>
    <xf numFmtId="49" fontId="7" fillId="3" borderId="1" xfId="0" applyNumberFormat="1" applyFont="1" applyFill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2" borderId="1" xfId="0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3" fontId="7" fillId="0" borderId="1" xfId="0" applyNumberFormat="1" applyFont="1" applyBorder="1" applyAlignment="1" applyProtection="1">
      <alignment horizontal="center"/>
      <protection hidden="1"/>
    </xf>
    <xf numFmtId="49" fontId="7" fillId="0" borderId="1" xfId="0" applyNumberFormat="1" applyFont="1" applyBorder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7F7F7F"/>
      </font>
      <fill>
        <patternFill patternType="solid">
          <fgColor rgb="FFFFF2CC"/>
          <bgColor rgb="FFFFF2CC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topLeftCell="A12" workbookViewId="0">
      <selection activeCell="C28" sqref="C28"/>
    </sheetView>
  </sheetViews>
  <sheetFormatPr baseColWidth="10" defaultColWidth="9.140625" defaultRowHeight="15"/>
  <cols>
    <col min="1" max="1" width="4" style="31" customWidth="1"/>
    <col min="2" max="2" width="28" style="31" customWidth="1"/>
    <col min="3" max="3" width="50" style="31" customWidth="1"/>
    <col min="4" max="16384" width="9.140625" style="31"/>
  </cols>
  <sheetData>
    <row r="2" spans="2:3">
      <c r="B2" s="51" t="s">
        <v>0</v>
      </c>
      <c r="C2" s="42"/>
    </row>
    <row r="3" spans="2:3">
      <c r="B3" s="42"/>
      <c r="C3" s="42"/>
    </row>
    <row r="4" spans="2:3" ht="17.25">
      <c r="B4" s="43" t="s">
        <v>1</v>
      </c>
    </row>
    <row r="6" spans="2:3" ht="16.5">
      <c r="B6" s="44" t="s">
        <v>2</v>
      </c>
    </row>
    <row r="7" spans="2:3">
      <c r="B7" s="45" t="s">
        <v>3</v>
      </c>
    </row>
    <row r="8" spans="2:3">
      <c r="B8" s="45" t="s">
        <v>4</v>
      </c>
    </row>
    <row r="9" spans="2:3">
      <c r="B9" s="45" t="s">
        <v>5</v>
      </c>
    </row>
    <row r="10" spans="2:3">
      <c r="B10" s="45" t="s">
        <v>6</v>
      </c>
    </row>
    <row r="11" spans="2:3">
      <c r="B11" s="45" t="s">
        <v>7</v>
      </c>
    </row>
    <row r="12" spans="2:3">
      <c r="B12" s="45" t="s">
        <v>8</v>
      </c>
    </row>
    <row r="14" spans="2:3" ht="16.5">
      <c r="B14" s="44" t="s">
        <v>9</v>
      </c>
    </row>
    <row r="15" spans="2:3">
      <c r="B15" s="45" t="s">
        <v>10</v>
      </c>
    </row>
    <row r="16" spans="2:3">
      <c r="B16" s="45" t="s">
        <v>11</v>
      </c>
    </row>
    <row r="17" spans="2:3">
      <c r="B17" s="45" t="s">
        <v>12</v>
      </c>
    </row>
    <row r="18" spans="2:3">
      <c r="B18" s="45" t="s">
        <v>13</v>
      </c>
    </row>
    <row r="20" spans="2:3" ht="17.25">
      <c r="B20" s="46" t="s">
        <v>14</v>
      </c>
    </row>
    <row r="21" spans="2:3">
      <c r="B21" s="47" t="s">
        <v>15</v>
      </c>
      <c r="C21" s="47" t="s">
        <v>16</v>
      </c>
    </row>
    <row r="22" spans="2:3">
      <c r="B22" s="48" t="s">
        <v>17</v>
      </c>
      <c r="C22" s="49">
        <v>1000</v>
      </c>
    </row>
    <row r="23" spans="2:3">
      <c r="B23" s="48" t="s">
        <v>18</v>
      </c>
      <c r="C23" s="49">
        <f>SUMIF(Preguntas!F9:F18, "Correcto", Preguntas!C9:C18)</f>
        <v>0</v>
      </c>
    </row>
    <row r="24" spans="2:3">
      <c r="B24" s="48" t="s">
        <v>19</v>
      </c>
      <c r="C24" s="50" t="str">
        <f>IF(C23=1000, "COMPLETADO", IF(C23&gt;=700, "APROBADO", "EN PROGRESO"))</f>
        <v>EN PROGRESO</v>
      </c>
    </row>
  </sheetData>
  <sheetProtection algorithmName="SHA-512" hashValue="dh9sgVvhDSlsqZXMGjh31PzOnAn6hR2rFbdlrjy7TlS+XJ0BPjwQbAyOdIxenOMwxwk695E4lMbai+EmyJisIQ==" saltValue="j3E6OYy1NrY306i/KiBTZA==" spinCount="100000" sheet="1" objects="1" scenarios="1"/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showGridLines="0" tabSelected="1" workbookViewId="0">
      <selection activeCell="C5" sqref="C5"/>
    </sheetView>
  </sheetViews>
  <sheetFormatPr baseColWidth="10" defaultColWidth="9.140625" defaultRowHeight="15"/>
  <cols>
    <col min="1" max="1" width="4" customWidth="1"/>
    <col min="2" max="2" width="26" customWidth="1"/>
    <col min="3" max="3" width="34" customWidth="1"/>
  </cols>
  <sheetData>
    <row r="2" spans="2:3" ht="21.95" customHeight="1">
      <c r="B2" s="24" t="s">
        <v>20</v>
      </c>
      <c r="C2" s="24"/>
    </row>
    <row r="3" spans="2:3" ht="21.95" customHeight="1">
      <c r="B3" s="24"/>
      <c r="C3" s="24"/>
    </row>
    <row r="4" spans="2:3" ht="21.95" customHeight="1">
      <c r="B4" s="3"/>
      <c r="C4" s="3"/>
    </row>
    <row r="5" spans="2:3" ht="21.95" customHeight="1">
      <c r="B5" s="4" t="s">
        <v>21</v>
      </c>
      <c r="C5" s="52" t="s">
        <v>22</v>
      </c>
    </row>
    <row r="6" spans="2:3" ht="21.95" customHeight="1">
      <c r="B6" s="3"/>
      <c r="C6" s="3"/>
    </row>
    <row r="7" spans="2:3" ht="21.95" customHeight="1">
      <c r="B7" s="25" t="s">
        <v>23</v>
      </c>
      <c r="C7" s="25"/>
    </row>
    <row r="8" spans="2:3" ht="21.95" customHeight="1">
      <c r="B8" s="5" t="s">
        <v>24</v>
      </c>
      <c r="C8" s="29"/>
    </row>
    <row r="9" spans="2:3" ht="21.95" customHeight="1">
      <c r="B9" s="5" t="s">
        <v>25</v>
      </c>
      <c r="C9" s="29"/>
    </row>
    <row r="10" spans="2:3" ht="21.95" customHeight="1">
      <c r="B10" s="5" t="s">
        <v>26</v>
      </c>
      <c r="C10" s="6"/>
    </row>
    <row r="11" spans="2:3" ht="21.95" customHeight="1">
      <c r="B11" s="25" t="s">
        <v>27</v>
      </c>
      <c r="C11" s="25"/>
    </row>
    <row r="12" spans="2:3" ht="21.95" customHeight="1">
      <c r="B12" s="5" t="s">
        <v>28</v>
      </c>
      <c r="C12" s="7"/>
    </row>
    <row r="13" spans="2:3" ht="21.95" customHeight="1">
      <c r="B13" s="5" t="s">
        <v>29</v>
      </c>
      <c r="C13" s="7"/>
    </row>
    <row r="14" spans="2:3" ht="21.95" customHeight="1">
      <c r="B14" s="5" t="s">
        <v>30</v>
      </c>
      <c r="C14" s="6"/>
    </row>
    <row r="15" spans="2:3" ht="21.95" customHeight="1">
      <c r="B15" s="5" t="s">
        <v>31</v>
      </c>
      <c r="C15" s="6"/>
    </row>
    <row r="16" spans="2:3" ht="21.95" customHeight="1">
      <c r="B16" s="5" t="s">
        <v>32</v>
      </c>
      <c r="C16" s="6"/>
    </row>
    <row r="17" spans="2:3" ht="21.95" customHeight="1">
      <c r="B17" s="25" t="s">
        <v>33</v>
      </c>
      <c r="C17" s="25"/>
    </row>
    <row r="18" spans="2:3" ht="21.95" customHeight="1">
      <c r="B18" s="2" t="s">
        <v>34</v>
      </c>
      <c r="C18" s="8"/>
    </row>
    <row r="19" spans="2:3" ht="21.95" customHeight="1">
      <c r="B19" s="3"/>
      <c r="C19" s="3"/>
    </row>
    <row r="20" spans="2:3" ht="21.95" customHeight="1">
      <c r="B20" s="26" t="s">
        <v>35</v>
      </c>
      <c r="C20" s="26"/>
    </row>
  </sheetData>
  <mergeCells count="5">
    <mergeCell ref="B2:C3"/>
    <mergeCell ref="B7:C7"/>
    <mergeCell ref="B11:C11"/>
    <mergeCell ref="B17:C17"/>
    <mergeCell ref="B20:C20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9"/>
  <sheetViews>
    <sheetView topLeftCell="A7" workbookViewId="0">
      <selection activeCell="E23" sqref="E23"/>
    </sheetView>
  </sheetViews>
  <sheetFormatPr baseColWidth="10" defaultColWidth="9.140625" defaultRowHeight="15"/>
  <cols>
    <col min="1" max="1" width="16" customWidth="1"/>
    <col min="2" max="2" width="24" customWidth="1"/>
    <col min="3" max="3" width="22" customWidth="1"/>
    <col min="4" max="4" width="12" customWidth="1"/>
    <col min="5" max="6" width="18" customWidth="1"/>
  </cols>
  <sheetData>
    <row r="2" spans="1:6">
      <c r="A2" s="27" t="s">
        <v>36</v>
      </c>
      <c r="B2" s="27"/>
      <c r="C2" s="27"/>
      <c r="D2" s="27"/>
      <c r="E2" s="27"/>
      <c r="F2" s="27"/>
    </row>
    <row r="3" spans="1:6">
      <c r="A3" s="27"/>
      <c r="B3" s="27"/>
      <c r="C3" s="27"/>
      <c r="D3" s="27"/>
      <c r="E3" s="27"/>
      <c r="F3" s="27"/>
    </row>
    <row r="12" spans="1:6" ht="26.1" customHeight="1">
      <c r="A12" s="9" t="s">
        <v>37</v>
      </c>
      <c r="B12" s="9" t="s">
        <v>38</v>
      </c>
      <c r="C12" s="9" t="s">
        <v>39</v>
      </c>
      <c r="D12" s="9" t="s">
        <v>40</v>
      </c>
      <c r="E12" s="9" t="s">
        <v>41</v>
      </c>
      <c r="F12" s="9" t="s">
        <v>42</v>
      </c>
    </row>
    <row r="13" spans="1:6">
      <c r="A13" s="10" t="s">
        <v>22</v>
      </c>
      <c r="B13" s="11" t="s">
        <v>43</v>
      </c>
      <c r="C13" s="10" t="s">
        <v>44</v>
      </c>
      <c r="D13" s="10" t="s">
        <v>45</v>
      </c>
      <c r="E13" s="12">
        <v>34436.166666666664</v>
      </c>
      <c r="F13" s="13">
        <v>150</v>
      </c>
    </row>
    <row r="14" spans="1:6">
      <c r="A14" s="14" t="s">
        <v>46</v>
      </c>
      <c r="B14" s="15" t="s">
        <v>47</v>
      </c>
      <c r="C14" s="14" t="s">
        <v>48</v>
      </c>
      <c r="D14" s="14" t="s">
        <v>49</v>
      </c>
      <c r="E14" s="16">
        <v>36791.166666666664</v>
      </c>
      <c r="F14" s="17">
        <v>130</v>
      </c>
    </row>
    <row r="15" spans="1:6">
      <c r="A15" s="10" t="s">
        <v>50</v>
      </c>
      <c r="B15" s="11" t="s">
        <v>51</v>
      </c>
      <c r="C15" s="10" t="s">
        <v>52</v>
      </c>
      <c r="D15" s="10" t="s">
        <v>49</v>
      </c>
      <c r="E15" s="12">
        <v>32277.166666666668</v>
      </c>
      <c r="F15" s="13">
        <v>160</v>
      </c>
    </row>
    <row r="16" spans="1:6">
      <c r="A16" s="14" t="s">
        <v>53</v>
      </c>
      <c r="B16" s="15" t="s">
        <v>54</v>
      </c>
      <c r="C16" s="14" t="s">
        <v>44</v>
      </c>
      <c r="D16" s="14" t="s">
        <v>45</v>
      </c>
      <c r="E16" s="16">
        <v>35769.166666666664</v>
      </c>
      <c r="F16" s="17">
        <v>150</v>
      </c>
    </row>
    <row r="17" spans="1:6">
      <c r="A17" s="10" t="s">
        <v>55</v>
      </c>
      <c r="B17" s="11" t="s">
        <v>56</v>
      </c>
      <c r="C17" s="10" t="s">
        <v>48</v>
      </c>
      <c r="D17" s="10" t="s">
        <v>49</v>
      </c>
      <c r="E17" s="12">
        <v>37487.166666666664</v>
      </c>
      <c r="F17" s="13">
        <v>130</v>
      </c>
    </row>
    <row r="18" spans="1:6">
      <c r="A18" s="14" t="s">
        <v>57</v>
      </c>
      <c r="B18" s="15" t="s">
        <v>58</v>
      </c>
      <c r="C18" s="14" t="s">
        <v>52</v>
      </c>
      <c r="D18" s="14" t="s">
        <v>45</v>
      </c>
      <c r="E18" s="16">
        <v>35033.166666666664</v>
      </c>
      <c r="F18" s="17">
        <v>160</v>
      </c>
    </row>
    <row r="19" spans="1:6">
      <c r="A19" s="10" t="s">
        <v>59</v>
      </c>
      <c r="B19" s="11" t="s">
        <v>60</v>
      </c>
      <c r="C19" s="10" t="s">
        <v>61</v>
      </c>
      <c r="D19" s="10" t="s">
        <v>49</v>
      </c>
      <c r="E19" s="12">
        <v>28656.166666666668</v>
      </c>
      <c r="F19" s="13">
        <v>250</v>
      </c>
    </row>
  </sheetData>
  <mergeCells count="1">
    <mergeCell ref="A2:F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2"/>
  <sheetViews>
    <sheetView topLeftCell="A10" workbookViewId="0">
      <selection activeCell="H12" sqref="H12"/>
    </sheetView>
  </sheetViews>
  <sheetFormatPr baseColWidth="10" defaultColWidth="9.140625" defaultRowHeight="15"/>
  <cols>
    <col min="1" max="1" width="4" customWidth="1"/>
    <col min="2" max="2" width="16" customWidth="1"/>
    <col min="3" max="3" width="18" customWidth="1"/>
    <col min="4" max="4" width="16" customWidth="1"/>
    <col min="5" max="5" width="18" customWidth="1"/>
    <col min="8" max="9" width="11.42578125" customWidth="1"/>
    <col min="10" max="10" width="20.28515625" bestFit="1" customWidth="1"/>
    <col min="11" max="11" width="20.28515625" customWidth="1"/>
    <col min="12" max="13" width="11.42578125" customWidth="1"/>
  </cols>
  <sheetData>
    <row r="2" spans="2:5">
      <c r="B2" s="27" t="s">
        <v>62</v>
      </c>
      <c r="C2" s="27"/>
      <c r="D2" s="27"/>
      <c r="E2" s="27"/>
    </row>
    <row r="3" spans="2:5">
      <c r="B3" s="27"/>
      <c r="C3" s="27"/>
      <c r="D3" s="27"/>
      <c r="E3" s="27"/>
    </row>
    <row r="12" spans="2:5" ht="26.1" customHeight="1">
      <c r="B12" s="9" t="s">
        <v>63</v>
      </c>
      <c r="C12" s="9" t="s">
        <v>37</v>
      </c>
      <c r="D12" s="9" t="s">
        <v>64</v>
      </c>
      <c r="E12" s="9" t="s">
        <v>65</v>
      </c>
    </row>
    <row r="13" spans="2:5">
      <c r="B13" s="12">
        <v>46296.166666666672</v>
      </c>
      <c r="C13" s="10" t="s">
        <v>22</v>
      </c>
      <c r="D13" s="18">
        <v>2</v>
      </c>
      <c r="E13" s="13">
        <v>450</v>
      </c>
    </row>
    <row r="14" spans="2:5">
      <c r="B14" s="16">
        <v>46296.166666666672</v>
      </c>
      <c r="C14" s="14" t="s">
        <v>46</v>
      </c>
      <c r="D14" s="19">
        <v>0</v>
      </c>
      <c r="E14" s="17">
        <v>0</v>
      </c>
    </row>
    <row r="15" spans="2:5">
      <c r="B15" s="12">
        <v>46296.166666666672</v>
      </c>
      <c r="C15" s="10" t="s">
        <v>50</v>
      </c>
      <c r="D15" s="18">
        <v>1</v>
      </c>
      <c r="E15" s="13">
        <v>300</v>
      </c>
    </row>
    <row r="16" spans="2:5">
      <c r="B16" s="16">
        <v>46296.166666666672</v>
      </c>
      <c r="C16" s="14" t="s">
        <v>53</v>
      </c>
      <c r="D16" s="19">
        <v>3</v>
      </c>
      <c r="E16" s="17">
        <v>600</v>
      </c>
    </row>
    <row r="17" spans="2:5">
      <c r="B17" s="12">
        <v>46296.166666666672</v>
      </c>
      <c r="C17" s="10" t="s">
        <v>55</v>
      </c>
      <c r="D17" s="18">
        <v>0</v>
      </c>
      <c r="E17" s="13">
        <v>0</v>
      </c>
    </row>
    <row r="18" spans="2:5">
      <c r="B18" s="16">
        <v>46297.166666666672</v>
      </c>
      <c r="C18" s="14" t="s">
        <v>57</v>
      </c>
      <c r="D18" s="19">
        <v>2</v>
      </c>
      <c r="E18" s="17">
        <v>400</v>
      </c>
    </row>
    <row r="19" spans="2:5">
      <c r="B19" s="12">
        <v>46297.166666666672</v>
      </c>
      <c r="C19" s="10" t="s">
        <v>59</v>
      </c>
      <c r="D19" s="18">
        <v>4</v>
      </c>
      <c r="E19" s="13">
        <v>800</v>
      </c>
    </row>
    <row r="20" spans="2:5">
      <c r="B20" s="16">
        <v>46297.166666666672</v>
      </c>
      <c r="C20" s="14" t="s">
        <v>22</v>
      </c>
      <c r="D20" s="19">
        <v>0</v>
      </c>
      <c r="E20" s="17">
        <v>350</v>
      </c>
    </row>
    <row r="21" spans="2:5">
      <c r="B21" s="12">
        <v>46297.166666666672</v>
      </c>
      <c r="C21" s="10" t="s">
        <v>46</v>
      </c>
      <c r="D21" s="18">
        <v>1</v>
      </c>
      <c r="E21" s="13">
        <v>200</v>
      </c>
    </row>
    <row r="22" spans="2:5">
      <c r="B22" s="16">
        <v>46297.166666666672</v>
      </c>
      <c r="C22" s="14" t="s">
        <v>50</v>
      </c>
      <c r="D22" s="19">
        <v>2</v>
      </c>
      <c r="E22" s="17">
        <v>500</v>
      </c>
    </row>
    <row r="23" spans="2:5">
      <c r="B23" s="12">
        <v>46298.166666666672</v>
      </c>
      <c r="C23" s="10" t="s">
        <v>53</v>
      </c>
      <c r="D23" s="18">
        <v>0</v>
      </c>
      <c r="E23" s="13">
        <v>450</v>
      </c>
    </row>
    <row r="24" spans="2:5">
      <c r="B24" s="16">
        <v>46298.166666666672</v>
      </c>
      <c r="C24" s="14" t="s">
        <v>55</v>
      </c>
      <c r="D24" s="19">
        <v>2</v>
      </c>
      <c r="E24" s="17">
        <v>300</v>
      </c>
    </row>
    <row r="25" spans="2:5">
      <c r="B25" s="12">
        <v>46298.166666666672</v>
      </c>
      <c r="C25" s="10" t="s">
        <v>57</v>
      </c>
      <c r="D25" s="18">
        <v>3</v>
      </c>
      <c r="E25" s="13">
        <v>700</v>
      </c>
    </row>
    <row r="26" spans="2:5">
      <c r="B26" s="16">
        <v>46298.166666666672</v>
      </c>
      <c r="C26" s="14" t="s">
        <v>59</v>
      </c>
      <c r="D26" s="19">
        <v>1</v>
      </c>
      <c r="E26" s="17">
        <v>150</v>
      </c>
    </row>
    <row r="27" spans="2:5">
      <c r="B27" s="12">
        <v>46299.166666666672</v>
      </c>
      <c r="C27" s="10" t="s">
        <v>22</v>
      </c>
      <c r="D27" s="18">
        <v>2</v>
      </c>
      <c r="E27" s="13">
        <v>550</v>
      </c>
    </row>
    <row r="28" spans="2:5">
      <c r="B28" s="16">
        <v>46299.166666666672</v>
      </c>
      <c r="C28" s="14" t="s">
        <v>46</v>
      </c>
      <c r="D28" s="19">
        <v>3</v>
      </c>
      <c r="E28" s="17">
        <v>400</v>
      </c>
    </row>
    <row r="29" spans="2:5">
      <c r="B29" s="12">
        <v>46299.166666666672</v>
      </c>
      <c r="C29" s="10" t="s">
        <v>50</v>
      </c>
      <c r="D29" s="18">
        <v>0</v>
      </c>
      <c r="E29" s="13">
        <v>250</v>
      </c>
    </row>
    <row r="30" spans="2:5">
      <c r="B30" s="16">
        <v>46299.166666666672</v>
      </c>
      <c r="C30" s="14" t="s">
        <v>53</v>
      </c>
      <c r="D30" s="19">
        <v>1</v>
      </c>
      <c r="E30" s="17">
        <v>300</v>
      </c>
    </row>
    <row r="31" spans="2:5">
      <c r="B31" s="12">
        <v>46300.166666666672</v>
      </c>
      <c r="C31" s="10" t="s">
        <v>55</v>
      </c>
      <c r="D31" s="18">
        <v>4</v>
      </c>
      <c r="E31" s="13">
        <v>900</v>
      </c>
    </row>
    <row r="32" spans="2:5">
      <c r="B32" s="16">
        <v>46300.166666666672</v>
      </c>
      <c r="C32" s="14" t="s">
        <v>57</v>
      </c>
      <c r="D32" s="19">
        <v>0</v>
      </c>
      <c r="E32" s="17">
        <v>0</v>
      </c>
    </row>
    <row r="33" spans="2:5">
      <c r="B33" s="12">
        <v>46300.166666666672</v>
      </c>
      <c r="C33" s="10" t="s">
        <v>59</v>
      </c>
      <c r="D33" s="18">
        <v>2</v>
      </c>
      <c r="E33" s="13">
        <v>500</v>
      </c>
    </row>
    <row r="34" spans="2:5">
      <c r="B34" s="16">
        <v>46300.166666666672</v>
      </c>
      <c r="C34" s="14" t="s">
        <v>22</v>
      </c>
      <c r="D34" s="19">
        <v>1</v>
      </c>
      <c r="E34" s="17">
        <v>380</v>
      </c>
    </row>
    <row r="35" spans="2:5">
      <c r="B35" s="12">
        <v>46301.166666666672</v>
      </c>
      <c r="C35" s="10" t="s">
        <v>46</v>
      </c>
      <c r="D35" s="18">
        <v>0</v>
      </c>
      <c r="E35" s="13">
        <v>150</v>
      </c>
    </row>
    <row r="36" spans="2:5">
      <c r="B36" s="16">
        <v>46301.166666666672</v>
      </c>
      <c r="C36" s="14" t="s">
        <v>50</v>
      </c>
      <c r="D36" s="19">
        <v>3</v>
      </c>
      <c r="E36" s="17">
        <v>650</v>
      </c>
    </row>
    <row r="37" spans="2:5">
      <c r="B37" s="12">
        <v>46301.166666666672</v>
      </c>
      <c r="C37" s="10" t="s">
        <v>53</v>
      </c>
      <c r="D37" s="18">
        <v>2</v>
      </c>
      <c r="E37" s="13">
        <v>500</v>
      </c>
    </row>
    <row r="38" spans="2:5">
      <c r="B38" s="16">
        <v>46301.166666666672</v>
      </c>
      <c r="C38" s="14" t="s">
        <v>55</v>
      </c>
      <c r="D38" s="19">
        <v>1</v>
      </c>
      <c r="E38" s="17">
        <v>200</v>
      </c>
    </row>
    <row r="39" spans="2:5">
      <c r="B39" s="12">
        <v>46302.166666666672</v>
      </c>
      <c r="C39" s="10" t="s">
        <v>57</v>
      </c>
      <c r="D39" s="18">
        <v>2</v>
      </c>
      <c r="E39" s="13">
        <v>420</v>
      </c>
    </row>
    <row r="40" spans="2:5">
      <c r="B40" s="16">
        <v>46302.166666666672</v>
      </c>
      <c r="C40" s="14" t="s">
        <v>59</v>
      </c>
      <c r="D40" s="19">
        <v>3</v>
      </c>
      <c r="E40" s="17">
        <v>750</v>
      </c>
    </row>
    <row r="41" spans="2:5">
      <c r="B41" s="12">
        <v>46302.166666666672</v>
      </c>
      <c r="C41" s="10" t="s">
        <v>22</v>
      </c>
      <c r="D41" s="18">
        <v>0</v>
      </c>
      <c r="E41" s="13">
        <v>320</v>
      </c>
    </row>
    <row r="42" spans="2:5">
      <c r="B42" s="16">
        <v>46302.166666666672</v>
      </c>
      <c r="C42" s="14" t="s">
        <v>46</v>
      </c>
      <c r="D42" s="19">
        <v>2</v>
      </c>
      <c r="E42" s="17">
        <v>350</v>
      </c>
    </row>
    <row r="43" spans="2:5">
      <c r="B43" s="12">
        <v>46303.166666666672</v>
      </c>
      <c r="C43" s="10" t="s">
        <v>50</v>
      </c>
      <c r="D43" s="18">
        <v>1</v>
      </c>
      <c r="E43" s="13">
        <v>400</v>
      </c>
    </row>
    <row r="44" spans="2:5">
      <c r="B44" s="16">
        <v>46303.166666666672</v>
      </c>
      <c r="C44" s="14" t="s">
        <v>53</v>
      </c>
      <c r="D44" s="19">
        <v>0</v>
      </c>
      <c r="E44" s="17">
        <v>280</v>
      </c>
    </row>
    <row r="45" spans="2:5">
      <c r="B45" s="12">
        <v>46303.166666666672</v>
      </c>
      <c r="C45" s="10" t="s">
        <v>55</v>
      </c>
      <c r="D45" s="18">
        <v>3</v>
      </c>
      <c r="E45" s="13">
        <v>850</v>
      </c>
    </row>
    <row r="46" spans="2:5">
      <c r="B46" s="16">
        <v>46303.166666666672</v>
      </c>
      <c r="C46" s="14" t="s">
        <v>57</v>
      </c>
      <c r="D46" s="19">
        <v>1</v>
      </c>
      <c r="E46" s="17">
        <v>310</v>
      </c>
    </row>
    <row r="47" spans="2:5">
      <c r="B47" s="12">
        <v>46304.166666666672</v>
      </c>
      <c r="C47" s="10" t="s">
        <v>59</v>
      </c>
      <c r="D47" s="18">
        <v>0</v>
      </c>
      <c r="E47" s="13">
        <v>0</v>
      </c>
    </row>
    <row r="48" spans="2:5">
      <c r="B48" s="16">
        <v>46304.166666666672</v>
      </c>
      <c r="C48" s="14" t="s">
        <v>22</v>
      </c>
      <c r="D48" s="19">
        <v>2</v>
      </c>
      <c r="E48" s="17">
        <v>490</v>
      </c>
    </row>
    <row r="49" spans="2:5">
      <c r="B49" s="12">
        <v>46304.166666666672</v>
      </c>
      <c r="C49" s="10" t="s">
        <v>46</v>
      </c>
      <c r="D49" s="18">
        <v>4</v>
      </c>
      <c r="E49" s="13">
        <v>950</v>
      </c>
    </row>
    <row r="50" spans="2:5">
      <c r="B50" s="16">
        <v>46304.166666666672</v>
      </c>
      <c r="C50" s="14" t="s">
        <v>50</v>
      </c>
      <c r="D50" s="19">
        <v>2</v>
      </c>
      <c r="E50" s="17">
        <v>600</v>
      </c>
    </row>
    <row r="51" spans="2:5">
      <c r="B51" s="12">
        <v>46305.166666666672</v>
      </c>
      <c r="C51" s="10" t="s">
        <v>53</v>
      </c>
      <c r="D51" s="18">
        <v>1</v>
      </c>
      <c r="E51" s="13">
        <v>350</v>
      </c>
    </row>
    <row r="52" spans="2:5">
      <c r="B52" s="16">
        <v>46305.166666666672</v>
      </c>
      <c r="C52" s="14" t="s">
        <v>55</v>
      </c>
      <c r="D52" s="19">
        <v>0</v>
      </c>
      <c r="E52" s="17">
        <v>180</v>
      </c>
    </row>
    <row r="53" spans="2:5">
      <c r="B53" s="12">
        <v>46305.166666666672</v>
      </c>
      <c r="C53" s="10" t="s">
        <v>57</v>
      </c>
      <c r="D53" s="18">
        <v>3</v>
      </c>
      <c r="E53" s="13">
        <v>800</v>
      </c>
    </row>
    <row r="54" spans="2:5">
      <c r="B54" s="16">
        <v>46305.166666666672</v>
      </c>
      <c r="C54" s="14" t="s">
        <v>59</v>
      </c>
      <c r="D54" s="19">
        <v>2</v>
      </c>
      <c r="E54" s="17">
        <v>420</v>
      </c>
    </row>
    <row r="55" spans="2:5">
      <c r="B55" s="12">
        <v>46306.166666666672</v>
      </c>
      <c r="C55" s="10" t="s">
        <v>22</v>
      </c>
      <c r="D55" s="18">
        <v>1</v>
      </c>
      <c r="E55" s="13">
        <v>290</v>
      </c>
    </row>
    <row r="56" spans="2:5">
      <c r="B56" s="16">
        <v>46306.166666666672</v>
      </c>
      <c r="C56" s="14" t="s">
        <v>46</v>
      </c>
      <c r="D56" s="19">
        <v>2</v>
      </c>
      <c r="E56" s="17">
        <v>500</v>
      </c>
    </row>
    <row r="57" spans="2:5">
      <c r="B57" s="12">
        <v>46306.166666666672</v>
      </c>
      <c r="C57" s="10" t="s">
        <v>50</v>
      </c>
      <c r="D57" s="18">
        <v>0</v>
      </c>
      <c r="E57" s="13">
        <v>150</v>
      </c>
    </row>
    <row r="58" spans="2:5">
      <c r="B58" s="16">
        <v>46307.166666666672</v>
      </c>
      <c r="C58" s="14" t="s">
        <v>53</v>
      </c>
      <c r="D58" s="19">
        <v>2</v>
      </c>
      <c r="E58" s="17">
        <v>510</v>
      </c>
    </row>
    <row r="59" spans="2:5">
      <c r="B59" s="12">
        <v>46307.166666666672</v>
      </c>
      <c r="C59" s="10" t="s">
        <v>55</v>
      </c>
      <c r="D59" s="18">
        <v>1</v>
      </c>
      <c r="E59" s="13">
        <v>220</v>
      </c>
    </row>
    <row r="60" spans="2:5">
      <c r="B60" s="16">
        <v>46307.166666666672</v>
      </c>
      <c r="C60" s="14" t="s">
        <v>57</v>
      </c>
      <c r="D60" s="19">
        <v>4</v>
      </c>
      <c r="E60" s="17">
        <v>1100</v>
      </c>
    </row>
    <row r="61" spans="2:5">
      <c r="B61" s="12">
        <v>46308.166666666672</v>
      </c>
      <c r="C61" s="10" t="s">
        <v>59</v>
      </c>
      <c r="D61" s="18">
        <v>3</v>
      </c>
      <c r="E61" s="13">
        <v>700</v>
      </c>
    </row>
    <row r="62" spans="2:5">
      <c r="B62" s="16">
        <v>46308.166666666672</v>
      </c>
      <c r="C62" s="14" t="s">
        <v>22</v>
      </c>
      <c r="D62" s="19">
        <v>2</v>
      </c>
      <c r="E62" s="17">
        <v>460</v>
      </c>
    </row>
  </sheetData>
  <mergeCells count="1">
    <mergeCell ref="B2:E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7"/>
  <sheetViews>
    <sheetView workbookViewId="0">
      <selection activeCell="C7" sqref="C7"/>
    </sheetView>
  </sheetViews>
  <sheetFormatPr baseColWidth="10" defaultColWidth="9.140625" defaultRowHeight="15"/>
  <cols>
    <col min="1" max="1" width="4" customWidth="1"/>
    <col min="2" max="2" width="28" customWidth="1"/>
    <col min="3" max="3" width="18" customWidth="1"/>
  </cols>
  <sheetData>
    <row r="2" spans="2:3">
      <c r="B2" s="28" t="s">
        <v>66</v>
      </c>
      <c r="C2" s="28"/>
    </row>
    <row r="3" spans="2:3">
      <c r="B3" s="28"/>
      <c r="C3" s="28"/>
    </row>
    <row r="5" spans="2:3">
      <c r="B5" s="1" t="s">
        <v>15</v>
      </c>
      <c r="C5" s="20" t="s">
        <v>67</v>
      </c>
    </row>
    <row r="6" spans="2:3">
      <c r="B6" s="21" t="s">
        <v>68</v>
      </c>
      <c r="C6" s="22">
        <v>40</v>
      </c>
    </row>
    <row r="7" spans="2:3">
      <c r="B7" s="21" t="s">
        <v>69</v>
      </c>
      <c r="C7" s="23">
        <v>0.05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8"/>
  <sheetViews>
    <sheetView workbookViewId="0">
      <selection activeCell="D16" sqref="D16"/>
    </sheetView>
  </sheetViews>
  <sheetFormatPr baseColWidth="10" defaultColWidth="9.140625" defaultRowHeight="15"/>
  <cols>
    <col min="1" max="1" width="6" style="31" customWidth="1"/>
    <col min="2" max="2" width="75" style="31" customWidth="1"/>
    <col min="3" max="3" width="8" style="31" customWidth="1"/>
    <col min="4" max="4" width="20" style="31" customWidth="1"/>
    <col min="5" max="5" width="16" style="31" customWidth="1"/>
    <col min="6" max="6" width="14" style="31" customWidth="1"/>
    <col min="7" max="16384" width="9.140625" style="31"/>
  </cols>
  <sheetData>
    <row r="2" spans="1:6">
      <c r="A2" s="30" t="s">
        <v>70</v>
      </c>
      <c r="B2" s="30"/>
      <c r="C2" s="30"/>
      <c r="D2" s="30"/>
      <c r="E2" s="30"/>
      <c r="F2" s="30"/>
    </row>
    <row r="3" spans="1:6">
      <c r="A3" s="30"/>
      <c r="B3" s="30"/>
      <c r="C3" s="30"/>
      <c r="D3" s="30"/>
      <c r="E3" s="30"/>
      <c r="F3" s="30"/>
    </row>
    <row r="5" spans="1:6">
      <c r="A5" s="32" t="s">
        <v>71</v>
      </c>
      <c r="B5" s="32"/>
      <c r="C5" s="32"/>
      <c r="D5" s="32"/>
      <c r="E5" s="32"/>
      <c r="F5" s="32"/>
    </row>
    <row r="6" spans="1:6">
      <c r="A6" s="32"/>
      <c r="B6" s="32"/>
      <c r="C6" s="32"/>
      <c r="D6" s="32"/>
      <c r="E6" s="32"/>
      <c r="F6" s="32"/>
    </row>
    <row r="8" spans="1:6" ht="24" customHeight="1">
      <c r="A8" s="33" t="s">
        <v>72</v>
      </c>
      <c r="B8" s="33" t="s">
        <v>73</v>
      </c>
      <c r="C8" s="33" t="s">
        <v>74</v>
      </c>
      <c r="D8" s="33" t="s">
        <v>75</v>
      </c>
      <c r="E8" s="33" t="s">
        <v>76</v>
      </c>
      <c r="F8" s="33" t="s">
        <v>77</v>
      </c>
    </row>
    <row r="9" spans="1:6" ht="27.95" customHeight="1">
      <c r="A9" s="34">
        <v>1</v>
      </c>
      <c r="B9" s="35" t="s">
        <v>78</v>
      </c>
      <c r="C9" s="36">
        <v>100</v>
      </c>
      <c r="D9" s="37"/>
      <c r="E9" s="38" t="s">
        <v>79</v>
      </c>
      <c r="F9" s="41" t="str">
        <f>IF(ISBLANK(D9), "Pendiente", IF(D9=50, "Correcto", "Incorrecto"))</f>
        <v>Pendiente</v>
      </c>
    </row>
    <row r="10" spans="1:6" ht="27.95" customHeight="1">
      <c r="A10" s="34">
        <v>2</v>
      </c>
      <c r="B10" s="35" t="s">
        <v>80</v>
      </c>
      <c r="C10" s="36">
        <v>100</v>
      </c>
      <c r="D10" s="39"/>
      <c r="E10" s="38" t="s">
        <v>81</v>
      </c>
      <c r="F10" s="41" t="str">
        <f>IF(ISBLANK(D10), "Pendiente", IF(ROUND(D10,2)=130, "Correcto", "Incorrecto"))</f>
        <v>Pendiente</v>
      </c>
    </row>
    <row r="11" spans="1:6" ht="27.95" customHeight="1">
      <c r="A11" s="34">
        <v>3</v>
      </c>
      <c r="B11" s="35" t="s">
        <v>82</v>
      </c>
      <c r="C11" s="36">
        <v>100</v>
      </c>
      <c r="D11" s="37"/>
      <c r="E11" s="38" t="s">
        <v>83</v>
      </c>
      <c r="F11" s="41" t="str">
        <f>IF(ISBLANK(D11), "Pendiente", IF(D11=7, "Correcto", "Incorrecto"))</f>
        <v>Pendiente</v>
      </c>
    </row>
    <row r="12" spans="1:6" ht="27.95" customHeight="1">
      <c r="A12" s="34">
        <v>4</v>
      </c>
      <c r="B12" s="35" t="s">
        <v>84</v>
      </c>
      <c r="C12" s="36">
        <v>100</v>
      </c>
      <c r="D12" s="37"/>
      <c r="E12" s="38" t="s">
        <v>85</v>
      </c>
      <c r="F12" s="41" t="str">
        <f>IF(ISBLANK(D12), "Pendiente", IF(D12=11, "Correcto", "Incorrecto"))</f>
        <v>Pendiente</v>
      </c>
    </row>
    <row r="13" spans="1:6" ht="27.95" customHeight="1">
      <c r="A13" s="34">
        <v>5</v>
      </c>
      <c r="B13" s="35" t="s">
        <v>86</v>
      </c>
      <c r="C13" s="36">
        <v>100</v>
      </c>
      <c r="D13" s="39"/>
      <c r="E13" s="38" t="s">
        <v>87</v>
      </c>
      <c r="F13" s="41" t="str">
        <f>IF(ISBLANK(D13), "Pendiente", IF(ROUND(D13,2)=400, "Correcto", "Incorrecto"))</f>
        <v>Pendiente</v>
      </c>
    </row>
    <row r="14" spans="1:6" ht="27.95" customHeight="1">
      <c r="A14" s="34">
        <v>6</v>
      </c>
      <c r="B14" s="35" t="s">
        <v>88</v>
      </c>
      <c r="C14" s="36">
        <v>100</v>
      </c>
      <c r="D14" s="39"/>
      <c r="E14" s="38" t="s">
        <v>89</v>
      </c>
      <c r="F14" s="41" t="str">
        <f>IF(ISBLANK(D14), "Pendiente", IF(ROUND(D14,2)=142.5, "Correcto", "Incorrecto"))</f>
        <v>Pendiente</v>
      </c>
    </row>
    <row r="15" spans="1:6" ht="27.95" customHeight="1">
      <c r="A15" s="34">
        <v>7</v>
      </c>
      <c r="B15" s="35" t="s">
        <v>90</v>
      </c>
      <c r="C15" s="36">
        <v>100</v>
      </c>
      <c r="D15" s="39"/>
      <c r="E15" s="38" t="s">
        <v>91</v>
      </c>
      <c r="F15" s="41" t="str">
        <f>IF(ISBLANK(D15), "Pendiente", IF(ROUND(D15,2)=1906.5, "Correcto", "Incorrecto"))</f>
        <v>Pendiente</v>
      </c>
    </row>
    <row r="16" spans="1:6" ht="27.95" customHeight="1">
      <c r="A16" s="34">
        <v>8</v>
      </c>
      <c r="B16" s="35" t="s">
        <v>92</v>
      </c>
      <c r="C16" s="36">
        <v>100</v>
      </c>
      <c r="D16" s="39"/>
      <c r="E16" s="38" t="s">
        <v>93</v>
      </c>
      <c r="F16" s="41" t="str">
        <f>IF(ISBLANK(D16), "Pendiente", IF(ROUND(D16,2)=12369, "Correcto", "Incorrecto"))</f>
        <v>Pendiente</v>
      </c>
    </row>
    <row r="17" spans="1:6" ht="27.95" customHeight="1">
      <c r="A17" s="34">
        <v>9</v>
      </c>
      <c r="B17" s="35" t="s">
        <v>94</v>
      </c>
      <c r="C17" s="36">
        <v>100</v>
      </c>
      <c r="D17" s="40"/>
      <c r="E17" s="38" t="s">
        <v>95</v>
      </c>
      <c r="F17" s="41" t="str">
        <f>IF(ISBLANK(D17), "Pendiente", IF(D17="Camila Vaca", "Correcto", "Incorrecto"))</f>
        <v>Pendiente</v>
      </c>
    </row>
    <row r="18" spans="1:6" ht="27.95" customHeight="1">
      <c r="A18" s="34">
        <v>10</v>
      </c>
      <c r="B18" s="35" t="s">
        <v>96</v>
      </c>
      <c r="C18" s="36">
        <v>100</v>
      </c>
      <c r="D18" s="40"/>
      <c r="E18" s="38" t="s">
        <v>97</v>
      </c>
      <c r="F18" s="41" t="str">
        <f>IF(ISBLANK(D18), "Pendiente", IF(D18="Supervisor Parque", "Correcto", "Incorrecto"))</f>
        <v>Pendiente</v>
      </c>
    </row>
  </sheetData>
  <sheetProtection algorithmName="SHA-512" hashValue="E9bMn4PMOQUr3AxDVbL7nYub6o1XdfDKMYz68WHu7JZQyYi7c/3PfoZP6jcXGMh2SVAdbykMJLO/CINrp/Q81w==" saltValue="vGysFxUp0WKRwKPWJiaUAQ==" spinCount="100000" sheet="1" objects="1" scenarios="1"/>
  <mergeCells count="2">
    <mergeCell ref="A2:F3"/>
    <mergeCell ref="A5:F6"/>
  </mergeCells>
  <conditionalFormatting sqref="F9:F18">
    <cfRule type="cellIs" dxfId="2" priority="1" operator="equal">
      <formula>"Correcto"</formula>
    </cfRule>
    <cfRule type="cellIs" dxfId="1" priority="2" operator="equal">
      <formula>"Incorrecto"</formula>
    </cfRule>
    <cfRule type="cellIs" dxfId="0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Ficha_Empleado</vt:lpstr>
      <vt:lpstr>Base_Personal</vt:lpstr>
      <vt:lpstr>Registro_Asistencia</vt:lpstr>
      <vt:lpstr>Referencias</vt:lpstr>
      <vt:lpstr>Preguntas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2026-06-29T19:30:37Z</dcterms:created>
  <dcterms:modified xsi:type="dcterms:W3CDTF">2026-06-29T21:24:05Z</dcterms:modified>
  <cp:category/>
</cp:coreProperties>
</file>