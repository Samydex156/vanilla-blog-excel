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Datos_Voluntarios" state="visible" r:id="rId5"/>
    <sheet sheetId="3" name="Referencias" state="visible" r:id="rId6"/>
    <sheet sheetId="4" name="Preguntas" state="visible" r:id="rId7"/>
  </sheets>
  <calcPr calcId="171027"/>
</workbook>
</file>

<file path=xl/sharedStrings.xml><?xml version="1.0" encoding="utf-8"?>
<sst xmlns="http://schemas.openxmlformats.org/spreadsheetml/2006/main" count="116" uniqueCount="114">
  <si>
    <t>BEATWAVE MUSIC FESTIVAL</t>
  </si>
  <si>
    <t>Misión 4: Edad y Registro de Voluntarios (Nivel Intermedio - Tarea)</t>
  </si>
  <si>
    <t>HISTORIA Y LORE</t>
  </si>
  <si>
    <t>¡Felicidades! BeatWave ha reunido a un equipo de 25 voluntarios entusiastas.</t>
  </si>
  <si>
    <t>Como Coordinador de Staff, tu tarea es determinar la edad exacta de cada voluntario</t>
  </si>
  <si>
    <t>al inicio del festival, asignarles su área según su rango de edad y calcular los apoyos</t>
  </si>
  <si>
    <t>económicos asignados. ¡Estructura este equipo y consolida los viáticos!</t>
  </si>
  <si>
    <t>REGLAS DEL RETO</t>
  </si>
  <si>
    <t>1. Resuelve las preguntas en la hoja 'Preguntas' ingresando fórmulas en la columna amarilla.</t>
  </si>
  <si>
    <t>2. Completa primero las columnas calculadas en la pestaña 'Datos_Voluntarios'.</t>
  </si>
  <si>
    <t>3. Usa referencias absolutas a la hoja 'Referencias' en lugar de números fijos.</t>
  </si>
  <si>
    <t>TABLERO DE PUNTOS</t>
  </si>
  <si>
    <t>Concepto</t>
  </si>
  <si>
    <t>Valor / Resultado</t>
  </si>
  <si>
    <t>Puntos Máximos del Reto</t>
  </si>
  <si>
    <t>Puntos Obtenidos</t>
  </si>
  <si>
    <t>Estado del Reto</t>
  </si>
  <si>
    <t>REGISTRO DE VOLUNTARIOS Y ASIGNACIÓN DE VIÁTICOS</t>
  </si>
  <si>
    <t>ID Voluntario</t>
  </si>
  <si>
    <t>Nombre Completo</t>
  </si>
  <si>
    <t>Fecha Nacimiento</t>
  </si>
  <si>
    <t>Edad (Años)</t>
  </si>
  <si>
    <t>Área Asignada</t>
  </si>
  <si>
    <t>Apoyo Diario (Bs.)</t>
  </si>
  <si>
    <t>Apoyo Total (Bs.)</t>
  </si>
  <si>
    <t>BW-VOL-201</t>
  </si>
  <si>
    <t>Alejandro Silva</t>
  </si>
  <si>
    <t>BW-VOL-202</t>
  </si>
  <si>
    <t>Sofía Méndez</t>
  </si>
  <si>
    <t>BW-VOL-203</t>
  </si>
  <si>
    <t>Carlos Rojas</t>
  </si>
  <si>
    <t>BW-VOL-204</t>
  </si>
  <si>
    <t>Lucía Delgado</t>
  </si>
  <si>
    <t>BW-VOL-205</t>
  </si>
  <si>
    <t>Mateo Ortiz</t>
  </si>
  <si>
    <t>BW-VOL-206</t>
  </si>
  <si>
    <t>Camila Vaca</t>
  </si>
  <si>
    <t>BW-VOL-207</t>
  </si>
  <si>
    <t>Diego Justiniano</t>
  </si>
  <si>
    <t>BW-VOL-208</t>
  </si>
  <si>
    <t>Valentina Sosa</t>
  </si>
  <si>
    <t>BW-VOL-209</t>
  </si>
  <si>
    <t>Lucas Guzmán</t>
  </si>
  <si>
    <t>BW-VOL-210</t>
  </si>
  <si>
    <t>Mariana Prada</t>
  </si>
  <si>
    <t>BW-VOL-211</t>
  </si>
  <si>
    <t>Nicolás Banegas</t>
  </si>
  <si>
    <t>BW-VOL-212</t>
  </si>
  <si>
    <t>Isabella Suárez</t>
  </si>
  <si>
    <t>BW-VOL-213</t>
  </si>
  <si>
    <t>Sebastián Mercado</t>
  </si>
  <si>
    <t>BW-VOL-214</t>
  </si>
  <si>
    <t>Gabriela Flores</t>
  </si>
  <si>
    <t>BW-VOL-215</t>
  </si>
  <si>
    <t>Samuel Quiroga</t>
  </si>
  <si>
    <t>BW-VOL-216</t>
  </si>
  <si>
    <t>Natalia Salvatierra</t>
  </si>
  <si>
    <t>BW-VOL-217</t>
  </si>
  <si>
    <t>Santiago Vargas</t>
  </si>
  <si>
    <t>BW-VOL-218</t>
  </si>
  <si>
    <t>Fernanda Castedo</t>
  </si>
  <si>
    <t>BW-VOL-219</t>
  </si>
  <si>
    <t>Bruno Ribera</t>
  </si>
  <si>
    <t>BW-VOL-220</t>
  </si>
  <si>
    <t>Paula Hurtado</t>
  </si>
  <si>
    <t>BW-VOL-221</t>
  </si>
  <si>
    <t>Joaquín Aguilera</t>
  </si>
  <si>
    <t>BW-VOL-222</t>
  </si>
  <si>
    <t>Daniela Antelo</t>
  </si>
  <si>
    <t>BW-VOL-223</t>
  </si>
  <si>
    <t>Matías Peña</t>
  </si>
  <si>
    <t>BW-VOL-224</t>
  </si>
  <si>
    <t>Flavia Terrazas</t>
  </si>
  <si>
    <t>BW-VOL-225</t>
  </si>
  <si>
    <t>Leonardo Chávez</t>
  </si>
  <si>
    <t>TOTALES</t>
  </si>
  <si>
    <t>PARÁMETROS Y APOYOS ECONÓMICOS</t>
  </si>
  <si>
    <t>Parámetro / Área</t>
  </si>
  <si>
    <t>Valor</t>
  </si>
  <si>
    <t>Fecha Inicio del Festival</t>
  </si>
  <si>
    <t>Duración del Festival (Días)</t>
  </si>
  <si>
    <t>Tipo de Cambio (BOB/USD)</t>
  </si>
  <si>
    <t>TABLA DE APOYO DIARIO POR ÁREA</t>
  </si>
  <si>
    <t>Área de Asignación</t>
  </si>
  <si>
    <t>Acceso y Registro</t>
  </si>
  <si>
    <t>Logística de Escenarios</t>
  </si>
  <si>
    <t>Seguridad y Protocolo</t>
  </si>
  <si>
    <t>PANEL DE PREGUNTAS Y VALIDACIÓN (NIVEL INTERMEDIO)</t>
  </si>
  <si>
    <t>Instrucciones: Completa primero las columnas calculadas en 'Datos_Voluntarios' usando DATEDIF, IF y XLOOKUP. Resuelve las preguntas ingresando fórmulas en la columna amarilla (Tu Respuesta). El validador verificará dinámicamente.</t>
  </si>
  <si>
    <t>#</t>
  </si>
  <si>
    <t>Descripción del Reto</t>
  </si>
  <si>
    <t>Puntos</t>
  </si>
  <si>
    <t>Tu Respuesta</t>
  </si>
  <si>
    <t>Pista</t>
  </si>
  <si>
    <t>Estado</t>
  </si>
  <si>
    <t>¿Cuál es la edad promedio (en años completos) de los voluntarios registrados?</t>
  </si>
  <si>
    <t>22.68</t>
  </si>
  <si>
    <t>¿Cuántos voluntarios son menores de edad (edad inferior a 18 años) al inicio del festival?</t>
  </si>
  <si>
    <t>7</t>
  </si>
  <si>
    <t>¿Cuántos voluntarios fueron asignados al área de "Seguridad y Protocolo"?</t>
  </si>
  <si>
    <t>8</t>
  </si>
  <si>
    <t>¿Cuál es el costo total del apoyo diario para todo el staff durante un día del festival?</t>
  </si>
  <si>
    <t>Bs. 3,210.00</t>
  </si>
  <si>
    <t>¿Cuál es el costo total acumulado del apoyo destinado a todos los voluntarios por los 3 días del festival?</t>
  </si>
  <si>
    <t>Bs. 9,630.00</t>
  </si>
  <si>
    <t>¿Cuál es la edad del voluntario de mayor edad en el grupo?</t>
  </si>
  <si>
    <t>34</t>
  </si>
  <si>
    <t>¿Cuál es el ID del voluntario más joven del grupo (el primero que aparece en la tabla)?</t>
  </si>
  <si>
    <t>¿Cuál es la suma del apoyo total de 3 días destinado únicamente a los voluntarios del área "Logística de Escenarios"?</t>
  </si>
  <si>
    <t>Bs. 3,900.00</t>
  </si>
  <si>
    <t>¿Cuál es la fecha de nacimiento de la voluntaria con el ID "BW-VOL-214"?</t>
  </si>
  <si>
    <t>2006-05-15</t>
  </si>
  <si>
    <t>¿Cuál es el costo total del apoyo de 3 días para el área "Seguridad y Protocolo" expresado en Dólares (USD)?</t>
  </si>
  <si>
    <t>$384.00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</si>
</sst>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&quot;Bs. &quot;#,##0.00"/>
    <numFmt numFmtId="166" formatCode="$#,##0.00"/>
  </numFmts>
  <fonts count="14" x14ac:knownFonts="1">
    <font>
      <color theme="1"/>
      <family val="2"/>
      <scheme val="minor"/>
      <sz val="11"/>
      <name val="Calibri"/>
    </font>
    <font>
      <b/>
      <color rgb="FFFFFF"/>
      <sz val="18"/>
      <name val="Segoe UI"/>
    </font>
    <font>
      <b/>
      <i/>
      <color rgb="595959"/>
      <sz val="12"/>
      <name val="Segoe UI"/>
    </font>
    <font>
      <b/>
      <color rgb="1F4E78"/>
      <sz val="11"/>
      <name val="Segoe UI"/>
    </font>
    <font>
      <sz val="10"/>
      <name val="Segoe UI"/>
    </font>
    <font>
      <b/>
      <sz val="12"/>
      <name val="Segoe UI"/>
    </font>
    <font>
      <b/>
      <color rgb="FFFFFF"/>
      <sz val="10"/>
      <name val="Segoe UI"/>
    </font>
    <font>
      <b/>
      <sz val="10"/>
      <name val="Segoe UI"/>
    </font>
    <font>
      <b/>
      <color rgb="FFFFFF"/>
      <sz val="14"/>
      <name val="Segoe UI"/>
    </font>
    <font>
      <b/>
      <color rgb="FFFFFF"/>
      <sz val="12"/>
      <name val="Segoe UI"/>
    </font>
    <font>
      <b/>
      <sz val="11"/>
      <name val="Segoe UI"/>
    </font>
    <font>
      <i/>
      <sz val="9"/>
      <name val="Segoe UI"/>
    </font>
    <font>
      <sz val="9.5"/>
      <name val="Segoe UI"/>
    </font>
    <font>
      <i/>
      <sz val="9.5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2CC"/>
      </patternFill>
    </fill>
    <fill>
      <patternFill patternType="solid">
        <fgColor rgb="F2F4F7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7" fillId="0" borderId="1" xfId="0" applyFont="1" applyBorder="1"/>
    <xf numFmtId="3" fontId="7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3" fontId="4" fillId="3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165" fontId="4" fillId="3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164" fontId="4" fillId="4" borderId="1" xfId="0" applyNumberFormat="1" applyFont="1" applyFill="1" applyBorder="1" applyAlignment="1">
      <alignment horizontal="center"/>
    </xf>
    <xf numFmtId="0" fontId="0" fillId="0" borderId="1" xfId="0" applyBorder="1"/>
    <xf numFmtId="0" fontId="9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4" fontId="7" fillId="0" borderId="1" xfId="0" applyNumberFormat="1" applyFont="1" applyBorder="1" applyAlignment="1">
      <alignment horizontal="right"/>
    </xf>
    <xf numFmtId="0" fontId="10" fillId="0" borderId="0" xfId="0" applyFont="1"/>
    <xf numFmtId="165" fontId="7" fillId="0" borderId="1" xfId="0" applyNumberFormat="1" applyFont="1" applyBorder="1" applyAlignment="1">
      <alignment horizontal="right"/>
    </xf>
    <xf numFmtId="0" fontId="11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4" fontId="7" fillId="3" borderId="1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right" vertical="center"/>
    </xf>
    <xf numFmtId="165" fontId="7" fillId="3" borderId="1" xfId="0" applyNumberFormat="1" applyFont="1" applyFill="1" applyBorder="1" applyAlignment="1">
      <alignment horizontal="right" vertical="center"/>
    </xf>
    <xf numFmtId="49" fontId="7" fillId="3" borderId="1" xfId="0" applyNumberFormat="1" applyFont="1" applyFill="1" applyBorder="1" applyAlignment="1">
      <alignment horizontal="right" vertical="center"/>
    </xf>
    <xf numFmtId="164" fontId="7" fillId="3" borderId="1" xfId="0" applyNumberFormat="1" applyFont="1" applyFill="1" applyBorder="1" applyAlignment="1">
      <alignment horizontal="right" vertical="center"/>
    </xf>
    <xf numFmtId="166" fontId="7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3">
    <dxf>
      <font>
        <b/>
        <color rgb="375623"/>
      </font>
      <fill>
        <patternFill patternType="solid">
          <fgColor rgb="E2EFDA"/>
          <bgColor rgb="E2EFDA"/>
        </patternFill>
      </fill>
    </dxf>
    <dxf>
      <font>
        <b/>
        <color rgb="C65911"/>
      </font>
      <fill>
        <patternFill patternType="solid">
          <fgColor rgb="FCE4D6"/>
          <bgColor rgb="FCE4D6"/>
        </patternFill>
      </fill>
    </dxf>
    <dxf>
      <font>
        <b/>
        <color rgb="7F7F7F"/>
      </font>
      <fill>
        <patternFill patternType="solid">
          <fgColor rgb="FFF2CC"/>
          <bgColor rgb="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8" customWidth="1"/>
    <col min="3" max="3" width="50" customWidth="1"/>
  </cols>
  <sheetData>
    <row r="2" spans="2:3" x14ac:dyDescent="0.25">
      <c r="B2" s="1" t="s">
        <v>0</v>
      </c>
      <c r="C2" s="1"/>
    </row>
    <row r="3" spans="2:3" x14ac:dyDescent="0.25">
      <c r="B3" s="1"/>
      <c r="C3" s="1"/>
    </row>
    <row r="4" spans="2:2" x14ac:dyDescent="0.25">
      <c r="B4" s="2" t="s">
        <v>1</v>
      </c>
    </row>
    <row r="6" spans="2:2" x14ac:dyDescent="0.25">
      <c r="B6" s="3" t="s">
        <v>2</v>
      </c>
    </row>
    <row r="7" spans="2:2" x14ac:dyDescent="0.25">
      <c r="B7" s="4" t="s">
        <v>3</v>
      </c>
    </row>
    <row r="8" spans="2:2" x14ac:dyDescent="0.25">
      <c r="B8" s="4" t="s">
        <v>4</v>
      </c>
    </row>
    <row r="9" spans="2:2" x14ac:dyDescent="0.25">
      <c r="B9" s="4" t="s">
        <v>5</v>
      </c>
    </row>
    <row r="10" spans="2:2" x14ac:dyDescent="0.25">
      <c r="B10" s="4" t="s">
        <v>6</v>
      </c>
    </row>
    <row r="12" spans="2:2" x14ac:dyDescent="0.25">
      <c r="B12" s="3" t="s">
        <v>7</v>
      </c>
    </row>
    <row r="13" spans="2:2" x14ac:dyDescent="0.25">
      <c r="B13" s="4" t="s">
        <v>8</v>
      </c>
    </row>
    <row r="14" spans="2:2" x14ac:dyDescent="0.25">
      <c r="B14" s="4" t="s">
        <v>9</v>
      </c>
    </row>
    <row r="15" spans="2:2" x14ac:dyDescent="0.25">
      <c r="B15" s="4" t="s">
        <v>10</v>
      </c>
    </row>
    <row r="17" spans="2:2" x14ac:dyDescent="0.25">
      <c r="B17" s="5" t="s">
        <v>11</v>
      </c>
    </row>
    <row r="18" spans="2:3" x14ac:dyDescent="0.25">
      <c r="B18" s="6" t="s">
        <v>12</v>
      </c>
      <c r="C18" s="6" t="s">
        <v>13</v>
      </c>
    </row>
    <row r="19" spans="2:3" x14ac:dyDescent="0.25">
      <c r="B19" s="7" t="s">
        <v>14</v>
      </c>
      <c r="C19" s="8">
        <v>1000</v>
      </c>
    </row>
    <row r="20" spans="2:3" x14ac:dyDescent="0.25">
      <c r="B20" s="7" t="s">
        <v>15</v>
      </c>
      <c r="C20" s="8">
        <f>=SUMIF(Preguntas!F9:F18, "Correcto", Preguntas!C9:C18)</f>
      </c>
    </row>
    <row r="21" spans="2:3" x14ac:dyDescent="0.25">
      <c r="B21" s="7" t="s">
        <v>16</v>
      </c>
      <c r="C21" s="9">
        <f>=IF(C20=1000, "COMPLETADO", IF(C20&gt;=700, "APROBADO", "EN PROGRESO"))</f>
      </c>
    </row>
  </sheetData>
  <mergeCells count="1">
    <mergeCell ref="B2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18" customWidth="1"/>
    <col min="4" max="4" width="15" customWidth="1"/>
    <col min="5" max="5" width="24" customWidth="1"/>
    <col min="6" max="7" width="20" customWidth="1"/>
  </cols>
  <sheetData>
    <row r="2" spans="1:7" x14ac:dyDescent="0.25">
      <c r="A2" s="10" t="s">
        <v>17</v>
      </c>
      <c r="B2" s="10"/>
      <c r="C2" s="10"/>
      <c r="D2" s="10"/>
      <c r="E2" s="10"/>
      <c r="F2" s="10"/>
      <c r="G2" s="10"/>
    </row>
    <row r="3" spans="1:7" x14ac:dyDescent="0.25">
      <c r="A3" s="10"/>
      <c r="B3" s="10"/>
      <c r="C3" s="10"/>
      <c r="D3" s="10"/>
      <c r="E3" s="10"/>
      <c r="F3" s="10"/>
      <c r="G3" s="10"/>
    </row>
    <row r="5" ht="28" customHeight="1" spans="1:7" x14ac:dyDescent="0.25">
      <c r="A5" s="11" t="s">
        <v>18</v>
      </c>
      <c r="B5" s="11" t="s">
        <v>19</v>
      </c>
      <c r="C5" s="11" t="s">
        <v>20</v>
      </c>
      <c r="D5" s="11" t="s">
        <v>21</v>
      </c>
      <c r="E5" s="11" t="s">
        <v>22</v>
      </c>
      <c r="F5" s="11" t="s">
        <v>23</v>
      </c>
      <c r="G5" s="11" t="s">
        <v>24</v>
      </c>
    </row>
    <row r="6" spans="1:7" x14ac:dyDescent="0.25">
      <c r="A6" s="12" t="s">
        <v>25</v>
      </c>
      <c r="B6" s="13" t="s">
        <v>26</v>
      </c>
      <c r="C6" s="14">
        <v>40223.166666666664</v>
      </c>
      <c r="D6" s="15"/>
      <c r="E6" s="16"/>
      <c r="F6" s="17"/>
      <c r="G6" s="17"/>
    </row>
    <row r="7" spans="1:7" x14ac:dyDescent="0.25">
      <c r="A7" s="18" t="s">
        <v>27</v>
      </c>
      <c r="B7" s="19" t="s">
        <v>28</v>
      </c>
      <c r="C7" s="20">
        <v>39391.166666666664</v>
      </c>
      <c r="D7" s="15"/>
      <c r="E7" s="16"/>
      <c r="F7" s="17"/>
      <c r="G7" s="17"/>
    </row>
    <row r="8" spans="1:7" x14ac:dyDescent="0.25">
      <c r="A8" s="12" t="s">
        <v>29</v>
      </c>
      <c r="B8" s="13" t="s">
        <v>30</v>
      </c>
      <c r="C8" s="14">
        <v>35538.166666666664</v>
      </c>
      <c r="D8" s="15"/>
      <c r="E8" s="16"/>
      <c r="F8" s="17"/>
      <c r="G8" s="17"/>
    </row>
    <row r="9" spans="1:7" x14ac:dyDescent="0.25">
      <c r="A9" s="18" t="s">
        <v>31</v>
      </c>
      <c r="B9" s="19" t="s">
        <v>32</v>
      </c>
      <c r="C9" s="20">
        <v>40045.166666666664</v>
      </c>
      <c r="D9" s="15"/>
      <c r="E9" s="16"/>
      <c r="F9" s="17"/>
      <c r="G9" s="17"/>
    </row>
    <row r="10" spans="1:7" x14ac:dyDescent="0.25">
      <c r="A10" s="12" t="s">
        <v>33</v>
      </c>
      <c r="B10" s="13" t="s">
        <v>34</v>
      </c>
      <c r="C10" s="14">
        <v>37643.166666666664</v>
      </c>
      <c r="D10" s="15"/>
      <c r="E10" s="16"/>
      <c r="F10" s="17"/>
      <c r="G10" s="17"/>
    </row>
    <row r="11" spans="1:7" x14ac:dyDescent="0.25">
      <c r="A11" s="18" t="s">
        <v>35</v>
      </c>
      <c r="B11" s="19" t="s">
        <v>36</v>
      </c>
      <c r="C11" s="20">
        <v>37176.166666666664</v>
      </c>
      <c r="D11" s="15"/>
      <c r="E11" s="16"/>
      <c r="F11" s="17"/>
      <c r="G11" s="17"/>
    </row>
    <row r="12" spans="1:7" x14ac:dyDescent="0.25">
      <c r="A12" s="12" t="s">
        <v>37</v>
      </c>
      <c r="B12" s="13" t="s">
        <v>38</v>
      </c>
      <c r="C12" s="14">
        <v>35154.166666666664</v>
      </c>
      <c r="D12" s="15"/>
      <c r="E12" s="16"/>
      <c r="F12" s="17"/>
      <c r="G12" s="17"/>
    </row>
    <row r="13" spans="1:7" x14ac:dyDescent="0.25">
      <c r="A13" s="18" t="s">
        <v>39</v>
      </c>
      <c r="B13" s="19" t="s">
        <v>40</v>
      </c>
      <c r="C13" s="20">
        <v>40148.166666666664</v>
      </c>
      <c r="D13" s="15"/>
      <c r="E13" s="16"/>
      <c r="F13" s="17"/>
      <c r="G13" s="17"/>
    </row>
    <row r="14" spans="1:7" x14ac:dyDescent="0.25">
      <c r="A14" s="12" t="s">
        <v>41</v>
      </c>
      <c r="B14" s="13" t="s">
        <v>42</v>
      </c>
      <c r="C14" s="14">
        <v>38487.166666666664</v>
      </c>
      <c r="D14" s="15"/>
      <c r="E14" s="16"/>
      <c r="F14" s="17"/>
      <c r="G14" s="17"/>
    </row>
    <row r="15" spans="1:7" x14ac:dyDescent="0.25">
      <c r="A15" s="18" t="s">
        <v>43</v>
      </c>
      <c r="B15" s="19" t="s">
        <v>44</v>
      </c>
      <c r="C15" s="20">
        <v>34585.166666666664</v>
      </c>
      <c r="D15" s="15"/>
      <c r="E15" s="16"/>
      <c r="F15" s="17"/>
      <c r="G15" s="17"/>
    </row>
    <row r="16" spans="1:7" x14ac:dyDescent="0.25">
      <c r="A16" s="12" t="s">
        <v>45</v>
      </c>
      <c r="B16" s="13" t="s">
        <v>46</v>
      </c>
      <c r="C16" s="14">
        <v>39258.166666666664</v>
      </c>
      <c r="D16" s="15"/>
      <c r="E16" s="16"/>
      <c r="F16" s="17"/>
      <c r="G16" s="17"/>
    </row>
    <row r="17" spans="1:7" x14ac:dyDescent="0.25">
      <c r="A17" s="18" t="s">
        <v>47</v>
      </c>
      <c r="B17" s="19" t="s">
        <v>48</v>
      </c>
      <c r="C17" s="20">
        <v>39823.166666666664</v>
      </c>
      <c r="D17" s="15"/>
      <c r="E17" s="16"/>
      <c r="F17" s="17"/>
      <c r="G17" s="17"/>
    </row>
    <row r="18" spans="1:7" x14ac:dyDescent="0.25">
      <c r="A18" s="12" t="s">
        <v>49</v>
      </c>
      <c r="B18" s="13" t="s">
        <v>50</v>
      </c>
      <c r="C18" s="14">
        <v>37360.166666666664</v>
      </c>
      <c r="D18" s="15"/>
      <c r="E18" s="16"/>
      <c r="F18" s="17"/>
      <c r="G18" s="17"/>
    </row>
    <row r="19" spans="1:7" x14ac:dyDescent="0.25">
      <c r="A19" s="18" t="s">
        <v>51</v>
      </c>
      <c r="B19" s="19" t="s">
        <v>52</v>
      </c>
      <c r="C19" s="20">
        <v>38852.166666666664</v>
      </c>
      <c r="D19" s="15"/>
      <c r="E19" s="16"/>
      <c r="F19" s="17"/>
      <c r="G19" s="17"/>
    </row>
    <row r="20" spans="1:7" x14ac:dyDescent="0.25">
      <c r="A20" s="12" t="s">
        <v>53</v>
      </c>
      <c r="B20" s="13" t="s">
        <v>54</v>
      </c>
      <c r="C20" s="14">
        <v>34314.166666666664</v>
      </c>
      <c r="D20" s="15"/>
      <c r="E20" s="16"/>
      <c r="F20" s="17"/>
      <c r="G20" s="17"/>
    </row>
    <row r="21" spans="1:7" x14ac:dyDescent="0.25">
      <c r="A21" s="18" t="s">
        <v>55</v>
      </c>
      <c r="B21" s="19" t="s">
        <v>56</v>
      </c>
      <c r="C21" s="20">
        <v>40119.166666666664</v>
      </c>
      <c r="D21" s="15"/>
      <c r="E21" s="16"/>
      <c r="F21" s="17"/>
      <c r="G21" s="17"/>
    </row>
    <row r="22" spans="1:7" x14ac:dyDescent="0.25">
      <c r="A22" s="12" t="s">
        <v>57</v>
      </c>
      <c r="B22" s="13" t="s">
        <v>58</v>
      </c>
      <c r="C22" s="14">
        <v>36726.166666666664</v>
      </c>
      <c r="D22" s="15"/>
      <c r="E22" s="16"/>
      <c r="F22" s="17"/>
      <c r="G22" s="17"/>
    </row>
    <row r="23" spans="1:7" x14ac:dyDescent="0.25">
      <c r="A23" s="18" t="s">
        <v>59</v>
      </c>
      <c r="B23" s="19" t="s">
        <v>60</v>
      </c>
      <c r="C23" s="20">
        <v>35854.166666666664</v>
      </c>
      <c r="D23" s="15"/>
      <c r="E23" s="16"/>
      <c r="F23" s="17"/>
      <c r="G23" s="17"/>
    </row>
    <row r="24" spans="1:7" x14ac:dyDescent="0.25">
      <c r="A24" s="12" t="s">
        <v>61</v>
      </c>
      <c r="B24" s="13" t="s">
        <v>62</v>
      </c>
      <c r="C24" s="14">
        <v>40302.166666666664</v>
      </c>
      <c r="D24" s="15"/>
      <c r="E24" s="16"/>
      <c r="F24" s="17"/>
      <c r="G24" s="17"/>
    </row>
    <row r="25" spans="1:7" x14ac:dyDescent="0.25">
      <c r="A25" s="18" t="s">
        <v>63</v>
      </c>
      <c r="B25" s="19" t="s">
        <v>64</v>
      </c>
      <c r="C25" s="20">
        <v>38063.166666666664</v>
      </c>
      <c r="D25" s="15"/>
      <c r="E25" s="16"/>
      <c r="F25" s="17"/>
      <c r="G25" s="17"/>
    </row>
    <row r="26" spans="1:7" x14ac:dyDescent="0.25">
      <c r="A26" s="12" t="s">
        <v>65</v>
      </c>
      <c r="B26" s="13" t="s">
        <v>66</v>
      </c>
      <c r="C26" s="14">
        <v>33848.166666666664</v>
      </c>
      <c r="D26" s="15"/>
      <c r="E26" s="16"/>
      <c r="F26" s="17"/>
      <c r="G26" s="17"/>
    </row>
    <row r="27" spans="1:7" x14ac:dyDescent="0.25">
      <c r="A27" s="18" t="s">
        <v>67</v>
      </c>
      <c r="B27" s="19" t="s">
        <v>68</v>
      </c>
      <c r="C27" s="20">
        <v>38575.166666666664</v>
      </c>
      <c r="D27" s="15"/>
      <c r="E27" s="16"/>
      <c r="F27" s="17"/>
      <c r="G27" s="17"/>
    </row>
    <row r="28" spans="1:7" x14ac:dyDescent="0.25">
      <c r="A28" s="12" t="s">
        <v>69</v>
      </c>
      <c r="B28" s="13" t="s">
        <v>70</v>
      </c>
      <c r="C28" s="14">
        <v>37289.166666666664</v>
      </c>
      <c r="D28" s="15"/>
      <c r="E28" s="16"/>
      <c r="F28" s="17"/>
      <c r="G28" s="17"/>
    </row>
    <row r="29" spans="1:7" x14ac:dyDescent="0.25">
      <c r="A29" s="18" t="s">
        <v>71</v>
      </c>
      <c r="B29" s="19" t="s">
        <v>72</v>
      </c>
      <c r="C29" s="20">
        <v>40117.166666666664</v>
      </c>
      <c r="D29" s="15"/>
      <c r="E29" s="16"/>
      <c r="F29" s="17"/>
      <c r="G29" s="17"/>
    </row>
    <row r="30" spans="1:7" x14ac:dyDescent="0.25">
      <c r="A30" s="12" t="s">
        <v>73</v>
      </c>
      <c r="B30" s="13" t="s">
        <v>74</v>
      </c>
      <c r="C30" s="14">
        <v>38127.166666666664</v>
      </c>
      <c r="D30" s="15"/>
      <c r="E30" s="16"/>
      <c r="F30" s="17"/>
      <c r="G30" s="17"/>
    </row>
    <row r="31" ht="22" customHeight="1" spans="1:7" x14ac:dyDescent="0.25">
      <c r="A31" s="7" t="s">
        <v>75</v>
      </c>
      <c r="B31" s="21"/>
      <c r="C31" s="21"/>
      <c r="D31" s="21"/>
      <c r="E31" s="21"/>
      <c r="F31" s="21"/>
      <c r="G31" s="21"/>
    </row>
  </sheetData>
  <mergeCells count="1">
    <mergeCell ref="A2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5"/>
  <sheetViews>
    <sheetView workbookViewId="0"/>
  </sheetViews>
  <sheetFormatPr defaultRowHeight="15" outlineLevelRow="0" outlineLevelCol="0" x14ac:dyDescent="55"/>
  <cols>
    <col min="1" max="1" width="4" customWidth="1"/>
    <col min="2" max="2" width="38" customWidth="1"/>
    <col min="3" max="3" width="18" customWidth="1"/>
  </cols>
  <sheetData>
    <row r="2" spans="2:3" x14ac:dyDescent="0.25">
      <c r="B2" s="22" t="s">
        <v>76</v>
      </c>
      <c r="C2" s="22"/>
    </row>
    <row r="3" spans="2:3" x14ac:dyDescent="0.25">
      <c r="B3" s="22"/>
      <c r="C3" s="22"/>
    </row>
    <row r="5" spans="2:3" x14ac:dyDescent="0.25">
      <c r="B5" s="6" t="s">
        <v>77</v>
      </c>
      <c r="C5" s="23" t="s">
        <v>78</v>
      </c>
    </row>
    <row r="6" spans="2:3" x14ac:dyDescent="0.25">
      <c r="B6" s="13" t="s">
        <v>79</v>
      </c>
      <c r="C6" s="24">
        <v>46339.16666666667</v>
      </c>
    </row>
    <row r="7" spans="2:3" x14ac:dyDescent="0.25">
      <c r="B7" s="13" t="s">
        <v>80</v>
      </c>
      <c r="C7" s="25">
        <v>3</v>
      </c>
    </row>
    <row r="8" spans="2:3" x14ac:dyDescent="0.25">
      <c r="B8" s="13" t="s">
        <v>81</v>
      </c>
      <c r="C8" s="26">
        <v>10</v>
      </c>
    </row>
    <row r="11" spans="2:2" x14ac:dyDescent="0.25">
      <c r="B11" s="27" t="s">
        <v>82</v>
      </c>
    </row>
    <row r="12" spans="2:3" x14ac:dyDescent="0.25">
      <c r="B12" s="6" t="s">
        <v>83</v>
      </c>
      <c r="C12" s="6" t="s">
        <v>23</v>
      </c>
    </row>
    <row r="13" spans="2:3" x14ac:dyDescent="0.25">
      <c r="B13" s="13" t="s">
        <v>84</v>
      </c>
      <c r="C13" s="28">
        <v>90</v>
      </c>
    </row>
    <row r="14" spans="2:3" x14ac:dyDescent="0.25">
      <c r="B14" s="13" t="s">
        <v>85</v>
      </c>
      <c r="C14" s="28">
        <v>130</v>
      </c>
    </row>
    <row r="15" spans="2:3" x14ac:dyDescent="0.25">
      <c r="B15" s="13" t="s">
        <v>86</v>
      </c>
      <c r="C15" s="28">
        <v>160</v>
      </c>
    </row>
  </sheetData>
  <mergeCells count="1">
    <mergeCell ref="B2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8"/>
  <sheetViews>
    <sheetView workbookViewId="0"/>
  </sheetViews>
  <sheetFormatPr defaultRowHeight="15" outlineLevelRow="0" outlineLevelCol="0" x14ac:dyDescent="55"/>
  <cols>
    <col min="1" max="1" width="6" customWidth="1"/>
    <col min="2" max="2" width="75" customWidth="1"/>
    <col min="3" max="3" width="8" customWidth="1"/>
    <col min="4" max="4" width="20" customWidth="1"/>
    <col min="5" max="5" width="16" customWidth="1"/>
    <col min="6" max="6" width="14" customWidth="1"/>
  </cols>
  <sheetData>
    <row r="2" spans="1:6" x14ac:dyDescent="0.25">
      <c r="A2" s="10" t="s">
        <v>87</v>
      </c>
      <c r="B2" s="10"/>
      <c r="C2" s="10"/>
      <c r="D2" s="10"/>
      <c r="E2" s="10"/>
      <c r="F2" s="10"/>
    </row>
    <row r="3" spans="1:6" x14ac:dyDescent="0.25">
      <c r="A3" s="10"/>
      <c r="B3" s="10"/>
      <c r="C3" s="10"/>
      <c r="D3" s="10"/>
      <c r="E3" s="10"/>
      <c r="F3" s="10"/>
    </row>
    <row r="5" spans="1:6" x14ac:dyDescent="0.25">
      <c r="A5" s="29" t="s">
        <v>88</v>
      </c>
      <c r="B5" s="29"/>
      <c r="C5" s="29"/>
      <c r="D5" s="29"/>
      <c r="E5" s="29"/>
      <c r="F5" s="29"/>
    </row>
    <row r="6" spans="1:6" x14ac:dyDescent="0.25">
      <c r="A6" s="29"/>
      <c r="B6" s="29"/>
      <c r="C6" s="29"/>
      <c r="D6" s="29"/>
      <c r="E6" s="29"/>
      <c r="F6" s="29"/>
    </row>
    <row r="8" ht="24" customHeight="1" spans="1:6" x14ac:dyDescent="0.25">
      <c r="A8" s="30" t="s">
        <v>89</v>
      </c>
      <c r="B8" s="30" t="s">
        <v>90</v>
      </c>
      <c r="C8" s="30" t="s">
        <v>91</v>
      </c>
      <c r="D8" s="30" t="s">
        <v>92</v>
      </c>
      <c r="E8" s="30" t="s">
        <v>93</v>
      </c>
      <c r="F8" s="30" t="s">
        <v>94</v>
      </c>
    </row>
    <row r="9" ht="28" customHeight="1" spans="1:6" x14ac:dyDescent="0.25">
      <c r="A9" s="31">
        <v>1</v>
      </c>
      <c r="B9" s="32" t="s">
        <v>95</v>
      </c>
      <c r="C9" s="33">
        <v>50</v>
      </c>
      <c r="D9" s="34"/>
      <c r="E9" s="35" t="s">
        <v>96</v>
      </c>
      <c r="F9" s="33">
        <f>=IF(ISBLANK(D9), "Pendiente", IF(ROUND(D9,2)=22.68, "Correcto", "Incorrecto"))</f>
      </c>
    </row>
    <row r="10" ht="28" customHeight="1" spans="1:6" x14ac:dyDescent="0.25">
      <c r="A10" s="31">
        <v>2</v>
      </c>
      <c r="B10" s="32" t="s">
        <v>97</v>
      </c>
      <c r="C10" s="33">
        <v>50</v>
      </c>
      <c r="D10" s="36"/>
      <c r="E10" s="35" t="s">
        <v>98</v>
      </c>
      <c r="F10" s="33">
        <f>=IF(ISBLANK(D10), "Pendiente", IF(D10=7, "Correcto", "Incorrecto"))</f>
      </c>
    </row>
    <row r="11" ht="28" customHeight="1" spans="1:6" x14ac:dyDescent="0.25">
      <c r="A11" s="31">
        <v>3</v>
      </c>
      <c r="B11" s="32" t="s">
        <v>99</v>
      </c>
      <c r="C11" s="33">
        <v>80</v>
      </c>
      <c r="D11" s="36"/>
      <c r="E11" s="35" t="s">
        <v>100</v>
      </c>
      <c r="F11" s="33">
        <f>=IF(ISBLANK(D11), "Pendiente", IF(D11=8, "Correcto", "Incorrecto"))</f>
      </c>
    </row>
    <row r="12" ht="28" customHeight="1" spans="1:6" x14ac:dyDescent="0.25">
      <c r="A12" s="31">
        <v>4</v>
      </c>
      <c r="B12" s="32" t="s">
        <v>101</v>
      </c>
      <c r="C12" s="33">
        <v>100</v>
      </c>
      <c r="D12" s="37"/>
      <c r="E12" s="35" t="s">
        <v>102</v>
      </c>
      <c r="F12" s="33">
        <f>=IF(ISBLANK(D12), "Pendiente", IF(D12=3210, "Correcto", "Incorrecto"))</f>
      </c>
    </row>
    <row r="13" ht="28" customHeight="1" spans="1:6" x14ac:dyDescent="0.25">
      <c r="A13" s="31">
        <v>5</v>
      </c>
      <c r="B13" s="32" t="s">
        <v>103</v>
      </c>
      <c r="C13" s="33">
        <v>100</v>
      </c>
      <c r="D13" s="37"/>
      <c r="E13" s="35" t="s">
        <v>104</v>
      </c>
      <c r="F13" s="33">
        <f>=IF(ISBLANK(D13), "Pendiente", IF(D13=9630, "Correcto", "Incorrecto"))</f>
      </c>
    </row>
    <row r="14" ht="28" customHeight="1" spans="1:6" x14ac:dyDescent="0.25">
      <c r="A14" s="31">
        <v>6</v>
      </c>
      <c r="B14" s="32" t="s">
        <v>105</v>
      </c>
      <c r="C14" s="33">
        <v>100</v>
      </c>
      <c r="D14" s="36"/>
      <c r="E14" s="35" t="s">
        <v>106</v>
      </c>
      <c r="F14" s="33">
        <f>=IF(ISBLANK(D14), "Pendiente", IF(D14=34, "Correcto", "Incorrecto"))</f>
      </c>
    </row>
    <row r="15" ht="28" customHeight="1" spans="1:6" x14ac:dyDescent="0.25">
      <c r="A15" s="31">
        <v>7</v>
      </c>
      <c r="B15" s="32" t="s">
        <v>107</v>
      </c>
      <c r="C15" s="33">
        <v>120</v>
      </c>
      <c r="D15" s="38"/>
      <c r="E15" s="35" t="s">
        <v>25</v>
      </c>
      <c r="F15" s="33">
        <f>=IF(ISBLANK(D15), "Pendiente", IF(D15="BW-VOL-201", "Correcto", "Incorrecto"))</f>
      </c>
    </row>
    <row r="16" ht="28" customHeight="1" spans="1:6" x14ac:dyDescent="0.25">
      <c r="A16" s="31">
        <v>8</v>
      </c>
      <c r="B16" s="32" t="s">
        <v>108</v>
      </c>
      <c r="C16" s="33">
        <v>120</v>
      </c>
      <c r="D16" s="37"/>
      <c r="E16" s="35" t="s">
        <v>109</v>
      </c>
      <c r="F16" s="33">
        <f>=IF(ISBLANK(D16), "Pendiente", IF(D16=3900, "Correcto", "Incorrecto"))</f>
      </c>
    </row>
    <row r="17" ht="28" customHeight="1" spans="1:6" x14ac:dyDescent="0.25">
      <c r="A17" s="31">
        <v>9</v>
      </c>
      <c r="B17" s="32" t="s">
        <v>110</v>
      </c>
      <c r="C17" s="33">
        <v>130</v>
      </c>
      <c r="D17" s="39"/>
      <c r="E17" s="35" t="s">
        <v>111</v>
      </c>
      <c r="F17" s="33">
        <f>=IF(ISBLANK(D17), "Pendiente", IF(TEXT(D17,"yyyy-mm-dd")="2006-05-15", "Correcto", "Incorrecto"))</f>
      </c>
    </row>
    <row r="18" ht="28" customHeight="1" spans="1:6" x14ac:dyDescent="0.25">
      <c r="A18" s="31">
        <v>10</v>
      </c>
      <c r="B18" s="32" t="s">
        <v>112</v>
      </c>
      <c r="C18" s="33">
        <v>150</v>
      </c>
      <c r="D18" s="40"/>
      <c r="E18" s="35" t="s">
        <v>113</v>
      </c>
      <c r="F18" s="33">
        <f>=IF(ISBLANK(D18), "Pendiente", IF(ROUND(D18,2)=384.00, "Correcto", "Incorrecto"))</f>
      </c>
    </row>
  </sheetData>
  <mergeCells count="2">
    <mergeCell ref="A2:F3"/>
    <mergeCell ref="A5:F6"/>
  </mergeCells>
  <conditionalFormatting sqref="F9:F18">
    <cfRule type="cellIs" dxfId="0" priority="1" operator="equal">
      <formula>"Correcto"</formula>
    </cfRule>
    <cfRule type="cellIs" dxfId="1" priority="2" operator="equal">
      <formula>"Incorrecto"</formula>
    </cfRule>
    <cfRule type="cellIs" dxfId="2" priority="3" operator="equal">
      <formula>"Pendiente"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Portada</vt:lpstr>
      <vt:lpstr>Datos_Voluntarios</vt:lpstr>
      <vt:lpstr>Referencias</vt:lpstr>
      <vt:lpstr>Preguntas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2026-06-18T23:52:16Z</dcterms:created>
  <dcterms:modified xsi:type="dcterms:W3CDTF">2026-06-18T23:52:16Z</dcterms:modified>
</cp:coreProperties>
</file>