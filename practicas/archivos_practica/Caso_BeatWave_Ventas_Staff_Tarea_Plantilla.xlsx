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Calculo_Planilla" state="visible" r:id="rId5"/>
    <sheet sheetId="3" name="Referencias" state="visible" r:id="rId6"/>
    <sheet sheetId="4" name="Preguntas" state="visible" r:id="rId7"/>
  </sheets>
  <calcPr calcId="171027"/>
</workbook>
</file>

<file path=xl/sharedStrings.xml><?xml version="1.0" encoding="utf-8"?>
<sst xmlns="http://schemas.openxmlformats.org/spreadsheetml/2006/main" count="83" uniqueCount="83">
  <si>
    <t>BEATWAVE MUSIC FESTIVAL</t>
  </si>
  <si>
    <t>Misión 3: Ventas y Planilla de Promotores (Nivel Básico - Tarea)</t>
  </si>
  <si>
    <t>HISTORIA Y LORE</t>
  </si>
  <si>
    <t>¡Bienvenido de nuevo, Coordinador! BeatWave ha lanzado la comercialización de sus pases VIP.</t>
  </si>
  <si>
    <t>Para ello, contratamos un equipo de 10 promotores de ventas estrella.</t>
  </si>
  <si>
    <t>Tu tarea es calcular el salario neto de cada promotor sumando sus salarios base, comisiones y bonos,</t>
  </si>
  <si>
    <t>restando la retención de ley. ¡Consolida el presupuesto total del staff!</t>
  </si>
  <si>
    <t>REGLAS DEL RETO</t>
  </si>
  <si>
    <t>1. Resuelve las preguntas en la hoja 'Preguntas' ingresando fórmulas en la columna amarilla.</t>
  </si>
  <si>
    <t>2. Completa primero las celdas amarillas en 'Calculo_Planilla' usando referencias absolutas ($).</t>
  </si>
  <si>
    <t>3. No alteres las columnas fijas ni los parámetros de referencias.</t>
  </si>
  <si>
    <t>TABLERO DE PUNTOS</t>
  </si>
  <si>
    <t>Concepto</t>
  </si>
  <si>
    <t>Valor / Resultado</t>
  </si>
  <si>
    <t>Puntos Máximos del Reto</t>
  </si>
  <si>
    <t>Puntos Obtenidos</t>
  </si>
  <si>
    <t>Estado del Reto</t>
  </si>
  <si>
    <t>CONTROL DE COMISIONES Y PLANILLA DE SUELDOS - STAFF VIP</t>
  </si>
  <si>
    <t>ID Promotor</t>
  </si>
  <si>
    <t>Nombre Promotor</t>
  </si>
  <si>
    <t>Sueldo Base (Bs.)</t>
  </si>
  <si>
    <t>Pases VIP Vendidos</t>
  </si>
  <si>
    <t>Monto Vendido (Bs.)</t>
  </si>
  <si>
    <t>Comisión (Bs.)</t>
  </si>
  <si>
    <t>Bono Incentivo (Bs.)</t>
  </si>
  <si>
    <t>Retención Impuestos (Bs.)</t>
  </si>
  <si>
    <t>Salario Neto (Bs.)</t>
  </si>
  <si>
    <t>BW-VEN-301</t>
  </si>
  <si>
    <t>Andrea Rojas</t>
  </si>
  <si>
    <t>BW-VEN-302</t>
  </si>
  <si>
    <t>Sebastian Vaca</t>
  </si>
  <si>
    <t>BW-VEN-303</t>
  </si>
  <si>
    <t>Lucía Delgado</t>
  </si>
  <si>
    <t>BW-VEN-304</t>
  </si>
  <si>
    <t>Bruno Suárez</t>
  </si>
  <si>
    <t>BW-VEN-305</t>
  </si>
  <si>
    <t>Natalia Ortiz</t>
  </si>
  <si>
    <t>BW-VEN-306</t>
  </si>
  <si>
    <t>Lucas Guzmán</t>
  </si>
  <si>
    <t>BW-VEN-307</t>
  </si>
  <si>
    <t>Isabella Prada</t>
  </si>
  <si>
    <t>BW-VEN-308</t>
  </si>
  <si>
    <t>Joaquín Antelo</t>
  </si>
  <si>
    <t>BW-VEN-309</t>
  </si>
  <si>
    <t>Daniela Aguilera</t>
  </si>
  <si>
    <t>BW-VEN-310</t>
  </si>
  <si>
    <t>Samuel Peña</t>
  </si>
  <si>
    <t>PARÁMETROS DE PLANILLA Y TASAS</t>
  </si>
  <si>
    <t>Parámetro Comercial</t>
  </si>
  <si>
    <t>Valor</t>
  </si>
  <si>
    <t>Precio de Venta Pase VIP</t>
  </si>
  <si>
    <t>Porcentaje Comisión de Venta</t>
  </si>
  <si>
    <t>Bono Incentivo por Pase VIP</t>
  </si>
  <si>
    <t>Tasa de Retención de Impuestos</t>
  </si>
  <si>
    <t>Tipo de Cambio (BOB por USD)</t>
  </si>
  <si>
    <t>PANEL DE PREGUNTAS Y VALIDACIÓN (NIVEL BÁSICO)</t>
  </si>
  <si>
    <t>Instrucciones: Completa primero las columnas calculadas en 'Calculo_Planilla' usando aritmética básica y referencias absolutas ($). Resuelve las preguntas ingresando fórmulas en la columna amarilla (Tu Respuesta). El validador verificará automáticamente.</t>
  </si>
  <si>
    <t>#</t>
  </si>
  <si>
    <t>Descripción del Reto</t>
  </si>
  <si>
    <t>Puntos</t>
  </si>
  <si>
    <t>Tu Respuesta</t>
  </si>
  <si>
    <t>Pista</t>
  </si>
  <si>
    <t>Estado</t>
  </si>
  <si>
    <t>¿Cuál es el monto total vendido en bolivianos (Bs.) por todos los promotores?</t>
  </si>
  <si>
    <t>Bs. 179,1x0.00</t>
  </si>
  <si>
    <t>¿Cuál es el promedio de pases VIP vendidos por promotor?</t>
  </si>
  <si>
    <t>x9.80</t>
  </si>
  <si>
    <t>¿Cuál es el monto total pagado en comisiones a todo el staff en bolivianos (Bs.)?</t>
  </si>
  <si>
    <t>Bs. 16,1x9.00</t>
  </si>
  <si>
    <t>¿Cuál es el salario neto total a pagar a todos los promotores en bolivianos (Bs.)?</t>
  </si>
  <si>
    <t>Bs. 48,0x3.10</t>
  </si>
  <si>
    <t>¿Cuál es el salario neto más alto obtenido por un promotor en bolivianos (Bs.)?</t>
  </si>
  <si>
    <t>Bs. 6,3x5.10</t>
  </si>
  <si>
    <t>¿Cuál es el salario neto más bajo obtenido por un promotor en bolivianos (Bs.)?</t>
  </si>
  <si>
    <t>Bs. 3,9x1.95</t>
  </si>
  <si>
    <t>¿Cuántos promotores vendieron más de 35 pases VIP?</t>
  </si>
  <si>
    <t>6</t>
  </si>
  <si>
    <t>¿Cuál es el promedio de la retención de impuestos aplicada por promotor en bolivianos (Bs.)?</t>
  </si>
  <si>
    <t>Bs. 5x3.59</t>
  </si>
  <si>
    <t>¿Cuántos promotores tienen un sueldo base superior a Bs. 2,500.00?</t>
  </si>
  <si>
    <t>5</t>
  </si>
  <si>
    <t>¿Cuál es el salario neto total acumulado de todo el staff expresado en Dólares (USD)?</t>
  </si>
  <si>
    <t>$4,6x5.18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</si>
</sst>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Bs. &quot;#,##0.00"/>
    <numFmt numFmtId="165" formatCode="0.0%"/>
    <numFmt numFmtId="166" formatCode="$#,##0.00"/>
  </numFmts>
  <fonts count="13" x14ac:knownFonts="1">
    <font>
      <color theme="1"/>
      <family val="2"/>
      <scheme val="minor"/>
      <sz val="11"/>
      <name val="Calibri"/>
    </font>
    <font>
      <b/>
      <color rgb="FFFFFF"/>
      <sz val="18"/>
      <name val="Segoe UI"/>
    </font>
    <font>
      <b/>
      <i/>
      <color rgb="595959"/>
      <sz val="12"/>
      <name val="Segoe UI"/>
    </font>
    <font>
      <b/>
      <color rgb="1F4E78"/>
      <sz val="11"/>
      <name val="Segoe UI"/>
    </font>
    <font>
      <sz val="10"/>
      <name val="Segoe UI"/>
    </font>
    <font>
      <b/>
      <sz val="12"/>
      <name val="Segoe UI"/>
    </font>
    <font>
      <b/>
      <color rgb="FFFFFF"/>
      <sz val="10"/>
      <name val="Segoe UI"/>
    </font>
    <font>
      <b/>
      <sz val="10"/>
      <name val="Segoe UI"/>
    </font>
    <font>
      <b/>
      <color rgb="FFFFFF"/>
      <sz val="14"/>
      <name val="Segoe UI"/>
    </font>
    <font>
      <b/>
      <color rgb="FFFFFF"/>
      <sz val="12"/>
      <name val="Segoe UI"/>
    </font>
    <font>
      <i/>
      <sz val="9"/>
      <name val="Segoe UI"/>
    </font>
    <font>
      <sz val="9.5"/>
      <name val="Segoe UI"/>
    </font>
    <font>
      <i/>
      <sz val="9.5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2CC"/>
      </patternFill>
    </fill>
    <fill>
      <patternFill patternType="solid">
        <fgColor rgb="F2F4F7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/>
    <xf numFmtId="0" fontId="7" fillId="0" borderId="1" xfId="0" applyFont="1" applyBorder="1"/>
    <xf numFmtId="3" fontId="7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164" fontId="4" fillId="4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right"/>
    </xf>
    <xf numFmtId="0" fontId="9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4" fontId="7" fillId="0" borderId="1" xfId="0" applyNumberFormat="1" applyFont="1" applyBorder="1" applyAlignment="1">
      <alignment horizontal="right"/>
    </xf>
    <xf numFmtId="0" fontId="10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4" fontId="7" fillId="3" borderId="1" xfId="0" applyNumberFormat="1" applyFont="1" applyFill="1" applyBorder="1" applyAlignment="1">
      <alignment horizontal="right" vertical="center"/>
    </xf>
    <xf numFmtId="3" fontId="7" fillId="3" borderId="1" xfId="0" applyNumberFormat="1" applyFont="1" applyFill="1" applyBorder="1" applyAlignment="1">
      <alignment horizontal="right" vertical="center"/>
    </xf>
    <xf numFmtId="166" fontId="7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3">
    <dxf>
      <font>
        <b/>
        <color rgb="375623"/>
      </font>
      <fill>
        <patternFill patternType="solid">
          <fgColor rgb="E2EFDA"/>
          <bgColor rgb="E2EFDA"/>
        </patternFill>
      </fill>
    </dxf>
    <dxf>
      <font>
        <b/>
        <color rgb="C65911"/>
      </font>
      <fill>
        <patternFill patternType="solid">
          <fgColor rgb="FCE4D6"/>
          <bgColor rgb="FCE4D6"/>
        </patternFill>
      </fill>
    </dxf>
    <dxf>
      <font>
        <b/>
        <color rgb="7F7F7F"/>
      </font>
      <fill>
        <patternFill patternType="solid">
          <fgColor rgb="FFF2CC"/>
          <bgColor rgb="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8" customWidth="1"/>
    <col min="3" max="3" width="50" customWidth="1"/>
  </cols>
  <sheetData>
    <row r="2" spans="2:3" x14ac:dyDescent="0.25">
      <c r="B2" s="1" t="s">
        <v>0</v>
      </c>
      <c r="C2" s="1"/>
    </row>
    <row r="3" spans="2:3" x14ac:dyDescent="0.25">
      <c r="B3" s="1"/>
      <c r="C3" s="1"/>
    </row>
    <row r="4" spans="2:2" x14ac:dyDescent="0.25">
      <c r="B4" s="2" t="s">
        <v>1</v>
      </c>
    </row>
    <row r="6" spans="2:2" x14ac:dyDescent="0.25">
      <c r="B6" s="3" t="s">
        <v>2</v>
      </c>
    </row>
    <row r="7" spans="2:2" x14ac:dyDescent="0.25">
      <c r="B7" s="4" t="s">
        <v>3</v>
      </c>
    </row>
    <row r="8" spans="2:2" x14ac:dyDescent="0.25">
      <c r="B8" s="4" t="s">
        <v>4</v>
      </c>
    </row>
    <row r="9" spans="2:2" x14ac:dyDescent="0.25">
      <c r="B9" s="4" t="s">
        <v>5</v>
      </c>
    </row>
    <row r="10" spans="2:2" x14ac:dyDescent="0.25">
      <c r="B10" s="4" t="s">
        <v>6</v>
      </c>
    </row>
    <row r="12" spans="2:2" x14ac:dyDescent="0.25">
      <c r="B12" s="3" t="s">
        <v>7</v>
      </c>
    </row>
    <row r="13" spans="2:2" x14ac:dyDescent="0.25">
      <c r="B13" s="4" t="s">
        <v>8</v>
      </c>
    </row>
    <row r="14" spans="2:2" x14ac:dyDescent="0.25">
      <c r="B14" s="4" t="s">
        <v>9</v>
      </c>
    </row>
    <row r="15" spans="2:2" x14ac:dyDescent="0.25">
      <c r="B15" s="4" t="s">
        <v>10</v>
      </c>
    </row>
    <row r="17" spans="2:2" x14ac:dyDescent="0.25">
      <c r="B17" s="5" t="s">
        <v>11</v>
      </c>
    </row>
    <row r="18" spans="2:3" x14ac:dyDescent="0.25">
      <c r="B18" s="6" t="s">
        <v>12</v>
      </c>
      <c r="C18" s="6" t="s">
        <v>13</v>
      </c>
    </row>
    <row r="19" spans="2:3" x14ac:dyDescent="0.25">
      <c r="B19" s="7" t="s">
        <v>14</v>
      </c>
      <c r="C19" s="8">
        <v>1000</v>
      </c>
    </row>
    <row r="20" spans="2:3" x14ac:dyDescent="0.25">
      <c r="B20" s="7" t="s">
        <v>15</v>
      </c>
      <c r="C20" s="8">
        <f>=SUMIF(Preguntas!F9:F18, "Correcto", Preguntas!C9:C18)</f>
      </c>
    </row>
    <row r="21" spans="2:3" x14ac:dyDescent="0.25">
      <c r="B21" s="7" t="s">
        <v>16</v>
      </c>
      <c r="C21" s="9">
        <f>=IF(C20=1000, "COMPLETADO", IF(C20&gt;=700, "APROBADO", "EN PROGRESO"))</f>
      </c>
    </row>
  </sheetData>
  <mergeCells count="1">
    <mergeCell ref="B2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5"/>
  <sheetViews>
    <sheetView workbookViewId="0"/>
  </sheetViews>
  <sheetFormatPr defaultRowHeight="15" outlineLevelRow="0" outlineLevelCol="0" x14ac:dyDescent="55"/>
  <cols>
    <col min="1" max="1" width="15" customWidth="1"/>
    <col min="2" max="2" width="24" customWidth="1"/>
    <col min="3" max="3" width="18" customWidth="1"/>
    <col min="4" max="5" width="20" customWidth="1"/>
    <col min="6" max="6" width="18" customWidth="1"/>
    <col min="7" max="7" width="20" customWidth="1"/>
    <col min="8" max="8" width="24" customWidth="1"/>
    <col min="9" max="9" width="20" customWidth="1"/>
  </cols>
  <sheetData>
    <row r="2" spans="1:9" x14ac:dyDescent="0.25">
      <c r="A2" s="10" t="s">
        <v>17</v>
      </c>
      <c r="B2" s="10"/>
      <c r="C2" s="10"/>
      <c r="D2" s="10"/>
      <c r="E2" s="10"/>
      <c r="F2" s="10"/>
      <c r="G2" s="10"/>
      <c r="H2" s="10"/>
      <c r="I2" s="10"/>
    </row>
    <row r="3" spans="1:9" x14ac:dyDescent="0.25">
      <c r="A3" s="10"/>
      <c r="B3" s="10"/>
      <c r="C3" s="10"/>
      <c r="D3" s="10"/>
      <c r="E3" s="10"/>
      <c r="F3" s="10"/>
      <c r="G3" s="10"/>
      <c r="H3" s="10"/>
      <c r="I3" s="10"/>
    </row>
    <row r="5" ht="30" customHeight="1" spans="1:9" x14ac:dyDescent="0.25">
      <c r="A5" s="11" t="s">
        <v>18</v>
      </c>
      <c r="B5" s="11" t="s">
        <v>19</v>
      </c>
      <c r="C5" s="11" t="s">
        <v>20</v>
      </c>
      <c r="D5" s="11" t="s">
        <v>21</v>
      </c>
      <c r="E5" s="11" t="s">
        <v>22</v>
      </c>
      <c r="F5" s="11" t="s">
        <v>23</v>
      </c>
      <c r="G5" s="11" t="s">
        <v>24</v>
      </c>
      <c r="H5" s="11" t="s">
        <v>25</v>
      </c>
      <c r="I5" s="11" t="s">
        <v>26</v>
      </c>
    </row>
    <row r="6" spans="1:9" x14ac:dyDescent="0.25">
      <c r="A6" s="12" t="s">
        <v>27</v>
      </c>
      <c r="B6" s="13" t="s">
        <v>28</v>
      </c>
      <c r="C6" s="14">
        <v>2200</v>
      </c>
      <c r="D6" s="15">
        <v>42</v>
      </c>
      <c r="E6" s="16"/>
      <c r="F6" s="16"/>
      <c r="G6" s="16"/>
      <c r="H6" s="16"/>
      <c r="I6" s="16"/>
    </row>
    <row r="7" spans="1:9" x14ac:dyDescent="0.25">
      <c r="A7" s="17" t="s">
        <v>29</v>
      </c>
      <c r="B7" s="18" t="s">
        <v>30</v>
      </c>
      <c r="C7" s="19">
        <v>2600</v>
      </c>
      <c r="D7" s="20">
        <v>35</v>
      </c>
      <c r="E7" s="16"/>
      <c r="F7" s="16"/>
      <c r="G7" s="16"/>
      <c r="H7" s="16"/>
      <c r="I7" s="16"/>
    </row>
    <row r="8" spans="1:9" x14ac:dyDescent="0.25">
      <c r="A8" s="12" t="s">
        <v>31</v>
      </c>
      <c r="B8" s="13" t="s">
        <v>32</v>
      </c>
      <c r="C8" s="14">
        <v>2300</v>
      </c>
      <c r="D8" s="15">
        <v>50</v>
      </c>
      <c r="E8" s="16"/>
      <c r="F8" s="16"/>
      <c r="G8" s="16"/>
      <c r="H8" s="16"/>
      <c r="I8" s="16"/>
    </row>
    <row r="9" spans="1:9" x14ac:dyDescent="0.25">
      <c r="A9" s="17" t="s">
        <v>33</v>
      </c>
      <c r="B9" s="18" t="s">
        <v>34</v>
      </c>
      <c r="C9" s="19">
        <v>2850</v>
      </c>
      <c r="D9" s="20">
        <v>25</v>
      </c>
      <c r="E9" s="16"/>
      <c r="F9" s="16"/>
      <c r="G9" s="16"/>
      <c r="H9" s="16"/>
      <c r="I9" s="16"/>
    </row>
    <row r="10" spans="1:9" x14ac:dyDescent="0.25">
      <c r="A10" s="12" t="s">
        <v>35</v>
      </c>
      <c r="B10" s="13" t="s">
        <v>36</v>
      </c>
      <c r="C10" s="14">
        <v>2550</v>
      </c>
      <c r="D10" s="15">
        <v>44</v>
      </c>
      <c r="E10" s="16"/>
      <c r="F10" s="16"/>
      <c r="G10" s="16"/>
      <c r="H10" s="16"/>
      <c r="I10" s="16"/>
    </row>
    <row r="11" spans="1:9" x14ac:dyDescent="0.25">
      <c r="A11" s="17" t="s">
        <v>37</v>
      </c>
      <c r="B11" s="18" t="s">
        <v>38</v>
      </c>
      <c r="C11" s="19">
        <v>2250</v>
      </c>
      <c r="D11" s="20">
        <v>31</v>
      </c>
      <c r="E11" s="16"/>
      <c r="F11" s="16"/>
      <c r="G11" s="16"/>
      <c r="H11" s="16"/>
      <c r="I11" s="16"/>
    </row>
    <row r="12" spans="1:9" x14ac:dyDescent="0.25">
      <c r="A12" s="12" t="s">
        <v>39</v>
      </c>
      <c r="B12" s="13" t="s">
        <v>40</v>
      </c>
      <c r="C12" s="14">
        <v>2950</v>
      </c>
      <c r="D12" s="15">
        <v>58</v>
      </c>
      <c r="E12" s="16"/>
      <c r="F12" s="16"/>
      <c r="G12" s="16"/>
      <c r="H12" s="16"/>
      <c r="I12" s="16"/>
    </row>
    <row r="13" spans="1:9" x14ac:dyDescent="0.25">
      <c r="A13" s="17" t="s">
        <v>41</v>
      </c>
      <c r="B13" s="18" t="s">
        <v>42</v>
      </c>
      <c r="C13" s="19">
        <v>2500</v>
      </c>
      <c r="D13" s="20">
        <v>29</v>
      </c>
      <c r="E13" s="16"/>
      <c r="F13" s="16"/>
      <c r="G13" s="16"/>
      <c r="H13" s="16"/>
      <c r="I13" s="16"/>
    </row>
    <row r="14" spans="1:9" x14ac:dyDescent="0.25">
      <c r="A14" s="12" t="s">
        <v>43</v>
      </c>
      <c r="B14" s="13" t="s">
        <v>44</v>
      </c>
      <c r="C14" s="14">
        <v>2400</v>
      </c>
      <c r="D14" s="15">
        <v>46</v>
      </c>
      <c r="E14" s="16"/>
      <c r="F14" s="16"/>
      <c r="G14" s="16"/>
      <c r="H14" s="16"/>
      <c r="I14" s="16"/>
    </row>
    <row r="15" spans="1:9" x14ac:dyDescent="0.25">
      <c r="A15" s="17" t="s">
        <v>45</v>
      </c>
      <c r="B15" s="18" t="s">
        <v>46</v>
      </c>
      <c r="C15" s="19">
        <v>2700</v>
      </c>
      <c r="D15" s="20">
        <v>38</v>
      </c>
      <c r="E15" s="16"/>
      <c r="F15" s="16"/>
      <c r="G15" s="16"/>
      <c r="H15" s="16"/>
      <c r="I15" s="16"/>
    </row>
  </sheetData>
  <mergeCells count="1">
    <mergeCell ref="A2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0"/>
  <sheetViews>
    <sheetView workbookViewId="0"/>
  </sheetViews>
  <sheetFormatPr defaultRowHeight="15" outlineLevelRow="0" outlineLevelCol="0" x14ac:dyDescent="55"/>
  <cols>
    <col min="1" max="1" width="4" customWidth="1"/>
    <col min="2" max="2" width="38" customWidth="1"/>
    <col min="3" max="3" width="18" customWidth="1"/>
  </cols>
  <sheetData>
    <row r="2" spans="2:3" x14ac:dyDescent="0.25">
      <c r="B2" s="21" t="s">
        <v>47</v>
      </c>
      <c r="C2" s="21"/>
    </row>
    <row r="3" spans="2:3" x14ac:dyDescent="0.25">
      <c r="B3" s="21"/>
      <c r="C3" s="21"/>
    </row>
    <row r="5" spans="2:3" x14ac:dyDescent="0.25">
      <c r="B5" s="6" t="s">
        <v>48</v>
      </c>
      <c r="C5" s="22" t="s">
        <v>49</v>
      </c>
    </row>
    <row r="6" spans="2:3" x14ac:dyDescent="0.25">
      <c r="B6" s="13" t="s">
        <v>50</v>
      </c>
      <c r="C6" s="23">
        <v>450</v>
      </c>
    </row>
    <row r="7" spans="2:3" x14ac:dyDescent="0.25">
      <c r="B7" s="13" t="s">
        <v>51</v>
      </c>
      <c r="C7" s="24">
        <v>0.09</v>
      </c>
    </row>
    <row r="8" spans="2:3" x14ac:dyDescent="0.25">
      <c r="B8" s="13" t="s">
        <v>52</v>
      </c>
      <c r="C8" s="23">
        <v>30</v>
      </c>
    </row>
    <row r="9" spans="2:3" x14ac:dyDescent="0.25">
      <c r="B9" s="13" t="s">
        <v>53</v>
      </c>
      <c r="C9" s="24">
        <v>0.1</v>
      </c>
    </row>
    <row r="10" spans="2:3" x14ac:dyDescent="0.25">
      <c r="B10" s="13" t="s">
        <v>54</v>
      </c>
      <c r="C10" s="25">
        <v>10.25</v>
      </c>
    </row>
  </sheetData>
  <mergeCells count="1">
    <mergeCell ref="B2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8"/>
  <sheetViews>
    <sheetView workbookViewId="0"/>
  </sheetViews>
  <sheetFormatPr defaultRowHeight="15" outlineLevelRow="0" outlineLevelCol="0" x14ac:dyDescent="55"/>
  <cols>
    <col min="1" max="1" width="6" customWidth="1"/>
    <col min="2" max="2" width="75" customWidth="1"/>
    <col min="3" max="3" width="8" customWidth="1"/>
    <col min="4" max="4" width="20" customWidth="1"/>
    <col min="5" max="5" width="16" customWidth="1"/>
    <col min="6" max="6" width="14" customWidth="1"/>
  </cols>
  <sheetData>
    <row r="2" spans="1:6" x14ac:dyDescent="0.25">
      <c r="A2" s="10" t="s">
        <v>55</v>
      </c>
      <c r="B2" s="10"/>
      <c r="C2" s="10"/>
      <c r="D2" s="10"/>
      <c r="E2" s="10"/>
      <c r="F2" s="10"/>
    </row>
    <row r="3" spans="1:6" x14ac:dyDescent="0.25">
      <c r="A3" s="10"/>
      <c r="B3" s="10"/>
      <c r="C3" s="10"/>
      <c r="D3" s="10"/>
      <c r="E3" s="10"/>
      <c r="F3" s="10"/>
    </row>
    <row r="5" spans="1:6" x14ac:dyDescent="0.25">
      <c r="A5" s="26" t="s">
        <v>56</v>
      </c>
      <c r="B5" s="26"/>
      <c r="C5" s="26"/>
      <c r="D5" s="26"/>
      <c r="E5" s="26"/>
      <c r="F5" s="26"/>
    </row>
    <row r="6" spans="1:6" x14ac:dyDescent="0.25">
      <c r="A6" s="26"/>
      <c r="B6" s="26"/>
      <c r="C6" s="26"/>
      <c r="D6" s="26"/>
      <c r="E6" s="26"/>
      <c r="F6" s="26"/>
    </row>
    <row r="8" ht="24" customHeight="1" spans="1:6" x14ac:dyDescent="0.25">
      <c r="A8" s="27" t="s">
        <v>57</v>
      </c>
      <c r="B8" s="27" t="s">
        <v>58</v>
      </c>
      <c r="C8" s="27" t="s">
        <v>59</v>
      </c>
      <c r="D8" s="27" t="s">
        <v>60</v>
      </c>
      <c r="E8" s="27" t="s">
        <v>61</v>
      </c>
      <c r="F8" s="27" t="s">
        <v>62</v>
      </c>
    </row>
    <row r="9" ht="28" customHeight="1" spans="1:6" x14ac:dyDescent="0.25">
      <c r="A9" s="28">
        <v>1</v>
      </c>
      <c r="B9" s="29" t="s">
        <v>63</v>
      </c>
      <c r="C9" s="30">
        <v>80</v>
      </c>
      <c r="D9" s="31"/>
      <c r="E9" s="32" t="s">
        <v>64</v>
      </c>
      <c r="F9" s="30">
        <f>=IF(ISBLANK(D9), "Pendiente", IF(ROUND(D9,2)=179100.00, "Correcto", "Incorrecto"))</f>
      </c>
    </row>
    <row r="10" ht="28" customHeight="1" spans="1:6" x14ac:dyDescent="0.25">
      <c r="A10" s="28">
        <v>2</v>
      </c>
      <c r="B10" s="29" t="s">
        <v>65</v>
      </c>
      <c r="C10" s="30">
        <v>80</v>
      </c>
      <c r="D10" s="33"/>
      <c r="E10" s="32" t="s">
        <v>66</v>
      </c>
      <c r="F10" s="30">
        <f>=IF(ISBLANK(D10), "Pendiente", IF(ROUND(D10,2)=39.80, "Correcto", "Incorrecto"))</f>
      </c>
    </row>
    <row r="11" ht="28" customHeight="1" spans="1:6" x14ac:dyDescent="0.25">
      <c r="A11" s="28">
        <v>3</v>
      </c>
      <c r="B11" s="29" t="s">
        <v>67</v>
      </c>
      <c r="C11" s="30">
        <v>100</v>
      </c>
      <c r="D11" s="31"/>
      <c r="E11" s="32" t="s">
        <v>68</v>
      </c>
      <c r="F11" s="30">
        <f>=IF(ISBLANK(D11), "Pendiente", IF(ROUND(D11,2)=16119.00, "Correcto", "Incorrecto"))</f>
      </c>
    </row>
    <row r="12" ht="28" customHeight="1" spans="1:6" x14ac:dyDescent="0.25">
      <c r="A12" s="28">
        <v>4</v>
      </c>
      <c r="B12" s="29" t="s">
        <v>69</v>
      </c>
      <c r="C12" s="30">
        <v>120</v>
      </c>
      <c r="D12" s="31"/>
      <c r="E12" s="32" t="s">
        <v>70</v>
      </c>
      <c r="F12" s="30">
        <f>=IF(ISBLANK(D12), "Pendiente", IF(ROUND(D12,2)=48023.10, "Correcto", "Incorrecto"))</f>
      </c>
    </row>
    <row r="13" ht="28" customHeight="1" spans="1:6" x14ac:dyDescent="0.25">
      <c r="A13" s="28">
        <v>5</v>
      </c>
      <c r="B13" s="29" t="s">
        <v>71</v>
      </c>
      <c r="C13" s="30">
        <v>100</v>
      </c>
      <c r="D13" s="31"/>
      <c r="E13" s="32" t="s">
        <v>72</v>
      </c>
      <c r="F13" s="30">
        <f>=IF(ISBLANK(D13), "Pendiente", IF(ROUND(D13,2)=6335.10, "Correcto", "Incorrecto"))</f>
      </c>
    </row>
    <row r="14" ht="28" customHeight="1" spans="1:6" x14ac:dyDescent="0.25">
      <c r="A14" s="28">
        <v>6</v>
      </c>
      <c r="B14" s="29" t="s">
        <v>73</v>
      </c>
      <c r="C14" s="30">
        <v>100</v>
      </c>
      <c r="D14" s="31"/>
      <c r="E14" s="32" t="s">
        <v>74</v>
      </c>
      <c r="F14" s="30">
        <f>=IF(ISBLANK(D14), "Pendiente", IF(ROUND(D14,2)=3991.95, "Correcto", "Incorrecto"))</f>
      </c>
    </row>
    <row r="15" ht="28" customHeight="1" spans="1:6" x14ac:dyDescent="0.25">
      <c r="A15" s="28">
        <v>7</v>
      </c>
      <c r="B15" s="29" t="s">
        <v>75</v>
      </c>
      <c r="C15" s="30">
        <v>100</v>
      </c>
      <c r="D15" s="34"/>
      <c r="E15" s="32" t="s">
        <v>76</v>
      </c>
      <c r="F15" s="30">
        <f>=IF(ISBLANK(D15), "Pendiente", IF(D15=6, "Correcto", "Incorrecto"))</f>
      </c>
    </row>
    <row r="16" ht="28" customHeight="1" spans="1:6" x14ac:dyDescent="0.25">
      <c r="A16" s="28">
        <v>8</v>
      </c>
      <c r="B16" s="29" t="s">
        <v>77</v>
      </c>
      <c r="C16" s="30">
        <v>100</v>
      </c>
      <c r="D16" s="31"/>
      <c r="E16" s="32" t="s">
        <v>78</v>
      </c>
      <c r="F16" s="30">
        <f>=IF(ISBLANK(D16), "Pendiente", IF(ROUND(D16,2)=533.59, "Correcto", "Incorrecto"))</f>
      </c>
    </row>
    <row r="17" ht="28" customHeight="1" spans="1:6" x14ac:dyDescent="0.25">
      <c r="A17" s="28">
        <v>9</v>
      </c>
      <c r="B17" s="29" t="s">
        <v>79</v>
      </c>
      <c r="C17" s="30">
        <v>100</v>
      </c>
      <c r="D17" s="34"/>
      <c r="E17" s="32" t="s">
        <v>80</v>
      </c>
      <c r="F17" s="30">
        <f>=IF(ISBLANK(D17), "Pendiente", IF(D17=5, "Correcto", "Incorrecto"))</f>
      </c>
    </row>
    <row r="18" ht="28" customHeight="1" spans="1:6" x14ac:dyDescent="0.25">
      <c r="A18" s="28">
        <v>10</v>
      </c>
      <c r="B18" s="29" t="s">
        <v>81</v>
      </c>
      <c r="C18" s="30">
        <v>120</v>
      </c>
      <c r="D18" s="35"/>
      <c r="E18" s="32" t="s">
        <v>82</v>
      </c>
      <c r="F18" s="30">
        <f>=IF(ISBLANK(D18), "Pendiente", IF(ROUND(D18,2)=4685.18, "Correcto", "Incorrecto"))</f>
      </c>
    </row>
  </sheetData>
  <mergeCells count="2">
    <mergeCell ref="A2:F3"/>
    <mergeCell ref="A5:F6"/>
  </mergeCells>
  <conditionalFormatting sqref="F9:F18">
    <cfRule type="cellIs" dxfId="0" priority="1" operator="equal">
      <formula>"Correcto"</formula>
    </cfRule>
    <cfRule type="cellIs" dxfId="1" priority="2" operator="equal">
      <formula>"Incorrecto"</formula>
    </cfRule>
    <cfRule type="cellIs" dxfId="2" priority="3" operator="equal">
      <formula>"Pendiente"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Portada</vt:lpstr>
      <vt:lpstr>Calculo_Planilla</vt:lpstr>
      <vt:lpstr>Referencias</vt:lpstr>
      <vt:lpstr>Preguntas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2026-06-19T05:42:35Z</dcterms:created>
  <dcterms:modified xsi:type="dcterms:W3CDTF">2026-06-19T05:42:35Z</dcterms:modified>
</cp:coreProperties>
</file>